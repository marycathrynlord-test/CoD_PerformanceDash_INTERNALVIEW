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Planning" sheetId="1" state="visible" r:id="rId1"/>
    <sheet xmlns:r="http://schemas.openxmlformats.org/officeDocument/2006/relationships" name="Metric Wireframe (work system)" sheetId="2" state="visible" r:id="rId2"/>
    <sheet xmlns:r="http://schemas.openxmlformats.org/officeDocument/2006/relationships" name="Metric Wireframe (goal area)" sheetId="3" state="visible" r:id="rId3"/>
    <sheet xmlns:r="http://schemas.openxmlformats.org/officeDocument/2006/relationships" name="KPI Catalog" sheetId="4" state="visible" r:id="rId4"/>
    <sheet xmlns:r="http://schemas.openxmlformats.org/officeDocument/2006/relationships" name="KPI Data" sheetId="5" state="visible" r:id="rId5"/>
    <sheet xmlns:r="http://schemas.openxmlformats.org/officeDocument/2006/relationships" name="Dashboard Items" sheetId="6" state="visible" r:id="rId6"/>
    <sheet xmlns:r="http://schemas.openxmlformats.org/officeDocument/2006/relationships" name="Objective Alignment" sheetId="7" state="visible" r:id="rId7"/>
  </sheets>
  <definedNames>
    <definedName name="_xlnm._FilterDatabase" localSheetId="3" hidden="1">'KPI Catalog'!$A$1:$U$1</definedName>
    <definedName name="_xlnm._FilterDatabase" localSheetId="4" hidden="1">'KPI Data'!$A$1:$H$129</definedName>
    <definedName name="_xlnm._FilterDatabase" localSheetId="5" hidden="1">'Dashboard Items'!$A$1:$F$152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mmm"/>
  </numFmts>
  <fonts count="28">
    <font>
      <name val="Calibri"/>
      <charset val="1"/>
      <family val="2"/>
      <color theme="1"/>
      <sz val="11"/>
    </font>
    <font>
      <name val="Arial"/>
      <family val="0"/>
      <sz val="10"/>
    </font>
    <font>
      <name val="Arial"/>
      <family val="0"/>
      <sz val="10"/>
    </font>
    <font>
      <name val="Arial"/>
      <family val="0"/>
      <sz val="10"/>
    </font>
    <font>
      <name val="Calibri"/>
      <charset val="1"/>
      <family val="2"/>
      <color theme="0"/>
      <sz val="11"/>
    </font>
    <font>
      <name val="Calibri"/>
      <charset val="1"/>
      <family val="2"/>
      <color theme="3"/>
      <sz val="11"/>
    </font>
    <font>
      <name val="Calibri"/>
      <charset val="1"/>
      <family val="2"/>
      <color rgb="FF14181F"/>
      <sz val="10"/>
    </font>
    <font>
      <name val="Arial"/>
      <family val="2"/>
      <sz val="10"/>
    </font>
    <font>
      <name val="Arial"/>
      <charset val="1"/>
      <family val="2"/>
      <b val="1"/>
      <color theme="0" tint="-0.05"/>
      <sz val="11"/>
    </font>
    <font>
      <name val="Arial"/>
      <charset val="1"/>
      <family val="2"/>
      <color theme="0" tint="-0.05"/>
      <sz val="11"/>
    </font>
    <font>
      <name val="Aptos"/>
      <charset val="1"/>
      <family val="0"/>
      <b val="1"/>
      <color theme="0" tint="-0.05"/>
      <sz val="10"/>
    </font>
    <font>
      <name val="Arial"/>
      <charset val="1"/>
      <family val="2"/>
      <b val="1"/>
      <color rgb="FFFFFFFF"/>
      <sz val="12"/>
    </font>
    <font>
      <name val="Arial"/>
      <charset val="1"/>
      <family val="2"/>
      <color rgb="FF1E1E1E"/>
      <sz val="11"/>
    </font>
    <font>
      <name val="Arial"/>
      <charset val="1"/>
      <family val="2"/>
      <color rgb="FF1E1E1E"/>
      <sz val="10"/>
    </font>
    <font>
      <name val="Arial"/>
      <charset val="1"/>
      <family val="2"/>
      <color rgb="FF8A2E26"/>
      <sz val="10"/>
    </font>
    <font>
      <name val="Arial"/>
      <charset val="1"/>
      <family val="2"/>
      <color theme="0"/>
      <sz val="10"/>
    </font>
    <font>
      <name val="Arial"/>
      <charset val="1"/>
      <family val="2"/>
      <b val="1"/>
      <color rgb="FF1E1E1E"/>
      <sz val="10"/>
    </font>
    <font>
      <name val="Aptos"/>
      <charset val="1"/>
      <family val="0"/>
      <color theme="1"/>
      <sz val="10"/>
    </font>
    <font>
      <name val="Aptos"/>
      <charset val="1"/>
      <family val="0"/>
      <b val="1"/>
      <color rgb="FFFFFFFF"/>
      <sz val="10"/>
    </font>
    <font>
      <name val="Aptos"/>
      <charset val="1"/>
      <family val="0"/>
      <color rgb="FF1E1E1E"/>
      <sz val="10"/>
    </font>
    <font>
      <name val="Aptos"/>
      <charset val="1"/>
      <family val="0"/>
      <color rgb="FF1E1E1E"/>
      <sz val="10"/>
      <u val="single"/>
    </font>
    <font>
      <name val="Aptos"/>
      <charset val="1"/>
      <family val="0"/>
      <color theme="1"/>
      <sz val="10"/>
      <u val="single"/>
    </font>
    <font>
      <name val="Arial"/>
      <charset val="1"/>
      <family val="2"/>
      <b val="1"/>
      <color rgb="FFFFFFFF"/>
      <sz val="10"/>
    </font>
    <font>
      <name val="Arial"/>
      <charset val="1"/>
      <family val="2"/>
      <sz val="10"/>
    </font>
    <font>
      <name val="Calibri"/>
      <charset val="1"/>
      <family val="2"/>
      <color rgb="FF000000"/>
      <sz val="12"/>
    </font>
    <font>
      <name val="Arial"/>
      <charset val="1"/>
      <family val="2"/>
      <color rgb="FF5B6B67"/>
      <sz val="10"/>
    </font>
    <font>
      <name val="Trebuchet MS"/>
      <charset val="1"/>
      <family val="2"/>
      <sz val="10"/>
    </font>
    <font>
      <name val="Arial"/>
      <charset val="1"/>
      <family val="2"/>
      <i val="1"/>
      <sz val="10"/>
    </font>
  </fonts>
  <fills count="47">
    <fill>
      <patternFill/>
    </fill>
    <fill>
      <patternFill patternType="gray125"/>
    </fill>
    <fill>
      <patternFill patternType="solid">
        <fgColor theme="3"/>
        <bgColor rgb="FF006A53"/>
      </patternFill>
    </fill>
    <fill>
      <patternFill patternType="solid">
        <fgColor rgb="FF92D050"/>
        <bgColor rgb="FF9BBB59"/>
      </patternFill>
    </fill>
    <fill>
      <patternFill patternType="solid">
        <fgColor theme="0" tint="-0.5"/>
        <bgColor rgb="FF6E7573"/>
      </patternFill>
    </fill>
    <fill>
      <patternFill patternType="solid">
        <fgColor theme="9"/>
        <bgColor rgb="FFFCAD70"/>
      </patternFill>
    </fill>
    <fill>
      <patternFill patternType="solid">
        <fgColor theme="9" tint="0.3998"/>
        <bgColor rgb="FFFCAD70"/>
      </patternFill>
    </fill>
    <fill>
      <patternFill patternType="solid">
        <fgColor theme="9" tint="0.7998"/>
        <bgColor rgb="FFFDE9D9"/>
      </patternFill>
    </fill>
    <fill>
      <patternFill patternType="solid">
        <fgColor rgb="FF00B050"/>
        <bgColor rgb="FF42AC9E"/>
      </patternFill>
    </fill>
    <fill>
      <patternFill patternType="solid">
        <fgColor theme="8"/>
        <bgColor rgb="FF42AC9E"/>
      </patternFill>
    </fill>
    <fill>
      <patternFill patternType="solid">
        <fgColor theme="8" tint="0.3998"/>
        <bgColor rgb="FF99C3BA"/>
      </patternFill>
    </fill>
    <fill>
      <patternFill patternType="solid">
        <fgColor theme="8" tint="0.7998"/>
        <bgColor rgb="FFDCE6F2"/>
      </patternFill>
    </fill>
    <fill>
      <patternFill patternType="solid">
        <fgColor theme="7"/>
        <bgColor rgb="FF6E7573"/>
      </patternFill>
    </fill>
    <fill>
      <patternFill patternType="solid">
        <fgColor theme="7" tint="0.3998"/>
        <bgColor rgb="FFB8A49B"/>
      </patternFill>
    </fill>
    <fill>
      <patternFill patternType="solid">
        <fgColor theme="7" tint="0.7998"/>
        <bgColor rgb="FFDCE6F2"/>
      </patternFill>
    </fill>
    <fill>
      <patternFill patternType="solid">
        <fgColor theme="6"/>
        <bgColor rgb="FF92D050"/>
      </patternFill>
    </fill>
    <fill>
      <patternFill patternType="solid">
        <fgColor theme="6" tint="0.3998"/>
        <bgColor rgb="FFDDD9C3"/>
      </patternFill>
    </fill>
    <fill>
      <patternFill patternType="solid">
        <fgColor theme="6" tint="0.7998"/>
        <bgColor rgb="FFEAF2EF"/>
      </patternFill>
    </fill>
    <fill>
      <patternFill patternType="solid">
        <fgColor theme="5"/>
        <bgColor rgb="FFDA4949"/>
      </patternFill>
    </fill>
    <fill>
      <patternFill patternType="solid">
        <fgColor theme="5" tint="0.3998"/>
        <bgColor rgb="FFDB8A8A"/>
      </patternFill>
    </fill>
    <fill>
      <patternFill patternType="solid">
        <fgColor theme="5" tint="0.7998"/>
        <bgColor rgb="FFE6E0EC"/>
      </patternFill>
    </fill>
    <fill>
      <patternFill patternType="solid">
        <fgColor theme="4"/>
        <bgColor rgb="FF476FB5"/>
      </patternFill>
    </fill>
    <fill>
      <patternFill patternType="solid">
        <fgColor theme="4" tint="0.3998"/>
        <bgColor rgb="FF8FACDE"/>
      </patternFill>
    </fill>
    <fill>
      <patternFill patternType="solid">
        <fgColor theme="4" tint="0.7998"/>
        <bgColor rgb="FFDBEEF4"/>
      </patternFill>
    </fill>
    <fill>
      <patternFill patternType="solid">
        <fgColor rgb="FFB14C93"/>
        <bgColor rgb="FFC0504D"/>
      </patternFill>
    </fill>
    <fill>
      <patternFill patternType="solid">
        <fgColor rgb="FFDB89C9"/>
        <bgColor rgb="FFD99694"/>
      </patternFill>
    </fill>
    <fill>
      <patternFill patternType="solid">
        <fgColor rgb="FFFAD6F6"/>
        <bgColor rgb="FFF2DCDB"/>
      </patternFill>
    </fill>
    <fill>
      <patternFill patternType="solid">
        <fgColor rgb="FFFFFF00"/>
        <bgColor rgb="FFFAC090"/>
      </patternFill>
    </fill>
    <fill>
      <patternFill patternType="solid">
        <fgColor rgb="FFD86528"/>
        <bgColor rgb="FFDA4949"/>
      </patternFill>
    </fill>
    <fill>
      <patternFill patternType="solid">
        <fgColor rgb="FFFCAD70"/>
        <bgColor rgb="FFFAC090"/>
      </patternFill>
    </fill>
    <fill>
      <patternFill patternType="solid">
        <fgColor rgb="FFFFE6D2"/>
        <bgColor rgb="FFFDE9D9"/>
      </patternFill>
    </fill>
    <fill>
      <patternFill patternType="solid">
        <fgColor rgb="FF42AC9E"/>
        <bgColor rgb="FF4BACC6"/>
      </patternFill>
    </fill>
    <fill>
      <patternFill patternType="solid">
        <fgColor rgb="FF79D2C6"/>
        <bgColor rgb="FF93CDDD"/>
      </patternFill>
    </fill>
    <fill>
      <patternFill patternType="solid">
        <fgColor rgb="FFC1F5E1"/>
        <bgColor rgb="FFDBEEF4"/>
      </patternFill>
    </fill>
    <fill>
      <patternFill patternType="solid">
        <fgColor rgb="FF476FB5"/>
        <bgColor rgb="FF4F81BD"/>
      </patternFill>
    </fill>
    <fill>
      <patternFill patternType="solid">
        <fgColor rgb="FF8FACDE"/>
        <bgColor rgb="FF95B3D7"/>
      </patternFill>
    </fill>
    <fill>
      <patternFill patternType="solid">
        <fgColor rgb="FFCCD0FD"/>
        <bgColor rgb="FFC6D9F1"/>
      </patternFill>
    </fill>
    <fill>
      <patternFill patternType="solid">
        <fgColor rgb="FFDA4949"/>
        <bgColor rgb="FFC0504D"/>
      </patternFill>
    </fill>
    <fill>
      <patternFill patternType="solid">
        <fgColor rgb="FFDB8A8A"/>
        <bgColor rgb="FFD99694"/>
      </patternFill>
    </fill>
    <fill>
      <patternFill patternType="mediumGray">
        <fgColor rgb="FF6E7573"/>
        <bgColor rgb="FF808080"/>
      </patternFill>
    </fill>
    <fill>
      <patternFill patternType="solid">
        <fgColor rgb="FFB8A49B"/>
        <bgColor rgb="FFCAABB1"/>
      </patternFill>
    </fill>
    <fill>
      <patternFill patternType="solid">
        <fgColor rgb="FFDBC3B8"/>
        <bgColor rgb="FFD0B7A0"/>
      </patternFill>
    </fill>
    <fill>
      <patternFill patternType="solid">
        <fgColor rgb="FF006A53"/>
        <bgColor rgb="FF1F497D"/>
      </patternFill>
    </fill>
    <fill>
      <patternFill patternType="solid">
        <fgColor rgb="FFFDE9D9"/>
        <bgColor rgb="FFFDEADA"/>
      </patternFill>
    </fill>
    <fill>
      <patternFill patternType="solid">
        <fgColor theme="2" tint="-0.1"/>
        <bgColor rgb="FFF2DCDB"/>
      </patternFill>
    </fill>
    <fill>
      <patternFill patternType="solid">
        <fgColor theme="3" tint="0.7998"/>
        <bgColor rgb="FFCCD0FD"/>
      </patternFill>
    </fill>
    <fill>
      <patternFill patternType="solid">
        <fgColor rgb="FFEAF2EF"/>
        <bgColor rgb="FFF2F2F2"/>
      </patternFill>
    </fill>
  </fills>
  <borders count="21">
    <border>
      <left/>
      <right/>
      <top/>
      <bottom/>
      <diagonal/>
    </border>
    <border>
      <left/>
      <right/>
      <top/>
      <bottom style="thin">
        <color rgb="FFFFFFFF"/>
      </bottom>
      <diagonal/>
    </border>
    <border>
      <left/>
      <right/>
      <top/>
      <bottom style="thin">
        <color rgb="FFA5B8C9"/>
      </bottom>
      <diagonal/>
    </border>
    <border>
      <left/>
      <right/>
      <top style="thin">
        <color rgb="FFFFFFFF"/>
      </top>
      <bottom style="thin">
        <color rgb="FFFFFFFF"/>
      </bottom>
      <diagonal/>
    </border>
    <border>
      <left/>
      <right/>
      <top style="thin">
        <color rgb="FFA5B8C9"/>
      </top>
      <bottom style="thin">
        <color rgb="FFA5B8C9"/>
      </bottom>
      <diagonal/>
    </border>
    <border>
      <left/>
      <right/>
      <top/>
      <bottom style="thin">
        <color rgb="FF99C3BA"/>
      </bottom>
      <diagonal/>
    </border>
    <border>
      <left/>
      <right/>
      <top style="thin">
        <color rgb="FF99C3BA"/>
      </top>
      <bottom style="thin">
        <color rgb="FF99C3BA"/>
      </bottom>
      <diagonal/>
    </border>
    <border>
      <left/>
      <right/>
      <top style="thin">
        <color rgb="FF99C3BA"/>
      </top>
      <bottom style="thin">
        <color rgb="FFD0B7A0"/>
      </bottom>
      <diagonal/>
    </border>
    <border>
      <left/>
      <right/>
      <top/>
      <bottom style="thin">
        <color rgb="FFD0B7A0"/>
      </bottom>
      <diagonal/>
    </border>
    <border>
      <left/>
      <right/>
      <top style="thin">
        <color rgb="FFD0B7A0"/>
      </top>
      <bottom style="thin">
        <color rgb="FFD0B7A0"/>
      </bottom>
      <diagonal/>
    </border>
    <border>
      <left/>
      <right/>
      <top style="thin">
        <color rgb="FFD0B7A0"/>
      </top>
      <bottom/>
      <diagonal/>
    </border>
    <border>
      <left/>
      <right/>
      <top style="thin">
        <color rgb="FFD0B7A0"/>
      </top>
      <bottom style="thin">
        <color rgb="FFCAABB1"/>
      </bottom>
      <diagonal/>
    </border>
    <border>
      <left/>
      <right/>
      <top/>
      <bottom style="thin">
        <color rgb="FFCAABB1"/>
      </bottom>
      <diagonal/>
    </border>
    <border>
      <left/>
      <right/>
      <top style="thin">
        <color rgb="FFCAABB1"/>
      </top>
      <bottom style="thin">
        <color rgb="FFCAABB1"/>
      </bottom>
      <diagonal/>
    </border>
    <border>
      <left/>
      <right/>
      <top/>
      <bottom style="thin">
        <color rgb="FFB7BBC1"/>
      </bottom>
      <diagonal/>
    </border>
    <border>
      <left/>
      <right/>
      <top style="thin">
        <color rgb="FFB7BBC1"/>
      </top>
      <bottom style="thin">
        <color rgb="FFB7BBC1"/>
      </bottom>
      <diagonal/>
    </border>
    <border>
      <left/>
      <right/>
      <top/>
      <bottom style="thin">
        <color rgb="FFBDB7D0"/>
      </bottom>
      <diagonal/>
    </border>
    <border>
      <left/>
      <right/>
      <top style="thin">
        <color rgb="FFBDB7D0"/>
      </top>
      <bottom style="thin">
        <color rgb="FFBDB7D0"/>
      </bottom>
      <diagonal/>
    </border>
    <border>
      <left/>
      <right/>
      <top style="thin">
        <color rgb="FFFFFFFF"/>
      </top>
      <bottom/>
      <diagonal/>
    </border>
    <border>
      <left/>
      <right/>
      <top style="thin">
        <color rgb="FFA5B8C9"/>
      </top>
      <bottom/>
      <diagonal/>
    </border>
    <border>
      <left style="thin"/>
      <right style="thin"/>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1">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general" vertical="bottom"/>
    </xf>
    <xf numFmtId="0" fontId="5" fillId="0" borderId="0" applyAlignment="1" pivotButton="0" quotePrefix="0" xfId="0">
      <alignment horizontal="center" vertical="bottom"/>
    </xf>
    <xf numFmtId="0" fontId="6" fillId="0" borderId="0" applyAlignment="1" pivotButton="0" quotePrefix="0" xfId="0">
      <alignment horizontal="center" vertical="bottom"/>
    </xf>
    <xf numFmtId="0" fontId="0" fillId="3" borderId="0" applyAlignment="1" pivotButton="0" quotePrefix="0" xfId="0">
      <alignment horizontal="general" vertical="bottom"/>
    </xf>
    <xf numFmtId="164" fontId="0" fillId="3" borderId="0" applyAlignment="1" pivotButton="0" quotePrefix="0" xfId="0">
      <alignment horizontal="general" vertical="bottom"/>
    </xf>
    <xf numFmtId="0" fontId="0" fillId="0" borderId="0" applyAlignment="1" pivotButton="0" quotePrefix="0" xfId="0">
      <alignment horizontal="center" vertical="center"/>
    </xf>
    <xf numFmtId="0" fontId="0" fillId="0" borderId="0" applyAlignment="1" pivotButton="0" quotePrefix="0" xfId="0">
      <alignment horizontal="left" vertical="bottom"/>
    </xf>
    <xf numFmtId="0" fontId="8" fillId="4" borderId="0" applyAlignment="1" pivotButton="0" quotePrefix="0" xfId="0">
      <alignment horizontal="center" vertical="center" wrapText="1"/>
    </xf>
    <xf numFmtId="0" fontId="9" fillId="4" borderId="0" applyAlignment="1" pivotButton="0" quotePrefix="0" xfId="0">
      <alignment horizontal="center" vertical="center" wrapText="1"/>
    </xf>
    <xf numFmtId="0" fontId="8" fillId="4" borderId="0" applyAlignment="1" pivotButton="0" quotePrefix="0" xfId="0">
      <alignment horizontal="general" vertical="center" wrapText="1"/>
    </xf>
    <xf numFmtId="0" fontId="8" fillId="4" borderId="0" applyAlignment="1" pivotButton="0" quotePrefix="0" xfId="0">
      <alignment horizontal="left" vertical="center"/>
    </xf>
    <xf numFmtId="0" fontId="10" fillId="4" borderId="0" applyAlignment="1" pivotButton="0" quotePrefix="0" xfId="0">
      <alignment horizontal="left" vertical="center" wrapText="1"/>
    </xf>
    <xf numFmtId="0" fontId="10" fillId="4"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2" applyAlignment="1" pivotButton="0" quotePrefix="0" xfId="0">
      <alignment horizontal="left" vertical="center" wrapText="1"/>
    </xf>
    <xf numFmtId="0" fontId="13" fillId="7" borderId="2" applyAlignment="1" pivotButton="0" quotePrefix="0" xfId="0">
      <alignment horizontal="center" vertical="center" wrapText="1"/>
    </xf>
    <xf numFmtId="0" fontId="13" fillId="7" borderId="2" applyAlignment="1" pivotButton="0" quotePrefix="0" xfId="0">
      <alignment horizontal="left" vertical="center"/>
    </xf>
    <xf numFmtId="0" fontId="14" fillId="7" borderId="2" applyAlignment="1" pivotButton="0" quotePrefix="0" xfId="0">
      <alignment horizontal="left" vertical="center" wrapText="1"/>
    </xf>
    <xf numFmtId="0" fontId="12" fillId="6" borderId="3" applyAlignment="1" pivotButton="0" quotePrefix="0" xfId="0">
      <alignment horizontal="center" vertical="center" wrapText="1"/>
    </xf>
    <xf numFmtId="0" fontId="13" fillId="7" borderId="4" applyAlignment="1" pivotButton="0" quotePrefix="0" xfId="0">
      <alignment horizontal="left" vertical="center" wrapText="1"/>
    </xf>
    <xf numFmtId="0" fontId="15" fillId="8" borderId="2" applyAlignment="1" pivotButton="0" quotePrefix="0" xfId="0">
      <alignment horizontal="center" vertical="center" wrapText="1"/>
    </xf>
    <xf numFmtId="0" fontId="11" fillId="5" borderId="0" applyAlignment="1" pivotButton="0" quotePrefix="0" xfId="0">
      <alignment horizontal="center" vertical="center" wrapText="1"/>
    </xf>
    <xf numFmtId="0" fontId="13" fillId="7" borderId="0" applyAlignment="1" pivotButton="0" quotePrefix="0" xfId="0">
      <alignment horizontal="left" vertical="center" wrapText="1"/>
    </xf>
    <xf numFmtId="0" fontId="13" fillId="7" borderId="0" applyAlignment="1" pivotButton="0" quotePrefix="0" xfId="0">
      <alignment horizontal="center" vertical="center" wrapText="1"/>
    </xf>
    <xf numFmtId="0" fontId="13" fillId="7" borderId="0" applyAlignment="1" pivotButton="0" quotePrefix="0" xfId="0">
      <alignment horizontal="left" vertical="center" wrapText="1"/>
    </xf>
    <xf numFmtId="0" fontId="13" fillId="7" borderId="0" applyAlignment="1" pivotButton="0" quotePrefix="0" xfId="0">
      <alignment horizontal="left" vertical="center"/>
    </xf>
    <xf numFmtId="0" fontId="11" fillId="9" borderId="0" applyAlignment="1" pivotButton="0" quotePrefix="0" xfId="0">
      <alignment horizontal="center" vertical="center" wrapText="1"/>
    </xf>
    <xf numFmtId="0" fontId="12" fillId="10" borderId="1" applyAlignment="1" pivotButton="0" quotePrefix="0" xfId="0">
      <alignment horizontal="center" vertical="center" wrapText="1"/>
    </xf>
    <xf numFmtId="0" fontId="13" fillId="11" borderId="5" applyAlignment="1" pivotButton="0" quotePrefix="0" xfId="0">
      <alignment horizontal="left" vertical="center" wrapText="1"/>
    </xf>
    <xf numFmtId="0" fontId="13" fillId="11" borderId="5" applyAlignment="1" pivotButton="0" quotePrefix="0" xfId="0">
      <alignment horizontal="center" vertical="center" wrapText="1"/>
    </xf>
    <xf numFmtId="0" fontId="13" fillId="11" borderId="5" applyAlignment="1" pivotButton="0" quotePrefix="0" xfId="0">
      <alignment horizontal="left" vertical="center"/>
    </xf>
    <xf numFmtId="0" fontId="13" fillId="11" borderId="6" applyAlignment="1" pivotButton="0" quotePrefix="0" xfId="0">
      <alignment horizontal="left" vertical="center" wrapText="1"/>
    </xf>
    <xf numFmtId="0" fontId="11" fillId="12" borderId="0" applyAlignment="1" pivotButton="0" quotePrefix="0" xfId="0">
      <alignment horizontal="center" vertical="center" wrapText="1"/>
    </xf>
    <xf numFmtId="0" fontId="12" fillId="13" borderId="1" applyAlignment="1" pivotButton="0" quotePrefix="0" xfId="0">
      <alignment horizontal="center" vertical="center" wrapText="1"/>
    </xf>
    <xf numFmtId="0" fontId="13" fillId="14" borderId="7" applyAlignment="1" pivotButton="0" quotePrefix="0" xfId="0">
      <alignment horizontal="left" vertical="center" wrapText="1"/>
    </xf>
    <xf numFmtId="0" fontId="13" fillId="14" borderId="8" applyAlignment="1" pivotButton="0" quotePrefix="0" xfId="0">
      <alignment horizontal="center" vertical="center" wrapText="1"/>
    </xf>
    <xf numFmtId="0" fontId="13" fillId="14" borderId="8" applyAlignment="1" pivotButton="0" quotePrefix="0" xfId="0">
      <alignment horizontal="left" vertical="center"/>
    </xf>
    <xf numFmtId="0" fontId="13" fillId="14" borderId="8" applyAlignment="1" pivotButton="0" quotePrefix="0" xfId="0">
      <alignment horizontal="left" vertical="center" wrapText="1"/>
    </xf>
    <xf numFmtId="0" fontId="13" fillId="14" borderId="9" applyAlignment="1" pivotButton="0" quotePrefix="0" xfId="0">
      <alignment horizontal="left" vertical="center" wrapText="1"/>
    </xf>
    <xf numFmtId="0" fontId="13" fillId="14" borderId="10" applyAlignment="1" pivotButton="0" quotePrefix="0" xfId="0">
      <alignment horizontal="left" vertical="center" wrapText="1"/>
    </xf>
    <xf numFmtId="0" fontId="16" fillId="14" borderId="8" applyAlignment="1" pivotButton="0" quotePrefix="0" xfId="0">
      <alignment horizontal="left" vertical="center" wrapText="1"/>
    </xf>
    <xf numFmtId="0" fontId="11" fillId="15" borderId="0" applyAlignment="1" pivotButton="0" quotePrefix="0" xfId="0">
      <alignment horizontal="center" vertical="center" wrapText="1"/>
    </xf>
    <xf numFmtId="0" fontId="12" fillId="16" borderId="1" applyAlignment="1" pivotButton="0" quotePrefix="0" xfId="0">
      <alignment horizontal="center" vertical="center" wrapText="1"/>
    </xf>
    <xf numFmtId="0" fontId="13" fillId="17" borderId="11" applyAlignment="1" pivotButton="0" quotePrefix="0" xfId="0">
      <alignment horizontal="left" vertical="center" wrapText="1"/>
    </xf>
    <xf numFmtId="0" fontId="13" fillId="17" borderId="12" applyAlignment="1" pivotButton="0" quotePrefix="0" xfId="0">
      <alignment horizontal="center" vertical="center" wrapText="1"/>
    </xf>
    <xf numFmtId="0" fontId="13" fillId="17" borderId="12" applyAlignment="1" pivotButton="0" quotePrefix="0" xfId="0">
      <alignment horizontal="left" vertical="center"/>
    </xf>
    <xf numFmtId="0" fontId="13" fillId="17" borderId="12" applyAlignment="1" pivotButton="0" quotePrefix="0" xfId="0">
      <alignment horizontal="left" vertical="center" wrapText="1"/>
    </xf>
    <xf numFmtId="0" fontId="13" fillId="17" borderId="13" applyAlignment="1" pivotButton="0" quotePrefix="0" xfId="0">
      <alignment horizontal="left" vertical="center" wrapText="1"/>
    </xf>
    <xf numFmtId="0" fontId="14" fillId="17" borderId="12" applyAlignment="1" pivotButton="0" quotePrefix="0" xfId="0">
      <alignment horizontal="left" vertical="center" wrapText="1"/>
    </xf>
    <xf numFmtId="0" fontId="11" fillId="18" borderId="0" applyAlignment="1" pivotButton="0" quotePrefix="0" xfId="0">
      <alignment horizontal="center" vertical="center" wrapText="1"/>
    </xf>
    <xf numFmtId="0" fontId="12" fillId="19" borderId="1" applyAlignment="1" pivotButton="0" quotePrefix="0" xfId="0">
      <alignment horizontal="center" vertical="center" wrapText="1"/>
    </xf>
    <xf numFmtId="0" fontId="13" fillId="20" borderId="14" applyAlignment="1" pivotButton="0" quotePrefix="0" xfId="0">
      <alignment horizontal="left" vertical="center" wrapText="1"/>
    </xf>
    <xf numFmtId="0" fontId="13" fillId="20" borderId="14" applyAlignment="1" pivotButton="0" quotePrefix="0" xfId="0">
      <alignment horizontal="center" vertical="center" wrapText="1"/>
    </xf>
    <xf numFmtId="0" fontId="13" fillId="20" borderId="14" applyAlignment="1" pivotButton="0" quotePrefix="0" xfId="0">
      <alignment horizontal="left" vertical="center"/>
    </xf>
    <xf numFmtId="0" fontId="13" fillId="20" borderId="15" applyAlignment="1" pivotButton="0" quotePrefix="0" xfId="0">
      <alignment horizontal="left" vertical="center" wrapText="1"/>
    </xf>
    <xf numFmtId="0" fontId="14" fillId="20" borderId="14" applyAlignment="1" pivotButton="0" quotePrefix="0" xfId="0">
      <alignment horizontal="left" vertical="center" wrapText="1"/>
    </xf>
    <xf numFmtId="0" fontId="11" fillId="21" borderId="0" applyAlignment="1" pivotButton="0" quotePrefix="0" xfId="0">
      <alignment horizontal="center" vertical="center" wrapText="1"/>
    </xf>
    <xf numFmtId="0" fontId="12" fillId="22" borderId="1" applyAlignment="1" pivotButton="0" quotePrefix="0" xfId="0">
      <alignment horizontal="center" vertical="center" wrapText="1"/>
    </xf>
    <xf numFmtId="0" fontId="13" fillId="23" borderId="16" applyAlignment="1" pivotButton="0" quotePrefix="0" xfId="0">
      <alignment horizontal="left" vertical="center" wrapText="1"/>
    </xf>
    <xf numFmtId="0" fontId="13" fillId="23" borderId="16" applyAlignment="1" pivotButton="0" quotePrefix="0" xfId="0">
      <alignment horizontal="center" vertical="center" wrapText="1"/>
    </xf>
    <xf numFmtId="0" fontId="13" fillId="23" borderId="16" applyAlignment="1" pivotButton="0" quotePrefix="0" xfId="0">
      <alignment horizontal="left" vertical="center"/>
    </xf>
    <xf numFmtId="0" fontId="13" fillId="23" borderId="17" applyAlignment="1" pivotButton="0" quotePrefix="0" xfId="0">
      <alignment horizontal="left" vertical="center" wrapText="1"/>
    </xf>
    <xf numFmtId="0" fontId="12" fillId="22" borderId="1" applyAlignment="1" pivotButton="0" quotePrefix="0" xfId="0">
      <alignment horizontal="left" vertical="center" wrapText="1"/>
    </xf>
    <xf numFmtId="0" fontId="14" fillId="23" borderId="16" applyAlignment="1" pivotButton="0" quotePrefix="0" xfId="0">
      <alignment horizontal="left" vertical="center" wrapText="1"/>
    </xf>
    <xf numFmtId="0" fontId="17" fillId="0" borderId="0" applyAlignment="1" pivotButton="0" quotePrefix="0" xfId="0">
      <alignment horizontal="center" vertical="center"/>
    </xf>
    <xf numFmtId="0" fontId="17" fillId="0" borderId="0" applyAlignment="1" pivotButton="0" quotePrefix="0" xfId="0">
      <alignment horizontal="center" vertical="center" wrapText="1"/>
    </xf>
    <xf numFmtId="0" fontId="17" fillId="0" borderId="0" applyAlignment="1" pivotButton="0" quotePrefix="0" xfId="0">
      <alignment horizontal="left" vertical="center"/>
    </xf>
    <xf numFmtId="0" fontId="17" fillId="0" borderId="0" applyAlignment="1" pivotButton="0" quotePrefix="0" xfId="0">
      <alignment horizontal="left" vertical="bottom"/>
    </xf>
    <xf numFmtId="0" fontId="17" fillId="0" borderId="0" applyAlignment="1" pivotButton="0" quotePrefix="0" xfId="0">
      <alignment horizontal="general" vertical="bottom"/>
    </xf>
    <xf numFmtId="0" fontId="10" fillId="4" borderId="0" applyAlignment="1" pivotButton="0" quotePrefix="0" xfId="0">
      <alignment horizontal="center" vertical="center"/>
    </xf>
    <xf numFmtId="0" fontId="18" fillId="24" borderId="0" applyAlignment="1" pivotButton="0" quotePrefix="0" xfId="0">
      <alignment horizontal="center" vertical="center" wrapText="1"/>
    </xf>
    <xf numFmtId="0" fontId="19" fillId="25" borderId="3" applyAlignment="1" pivotButton="0" quotePrefix="0" xfId="0">
      <alignment horizontal="center" vertical="center" wrapText="1"/>
    </xf>
    <xf numFmtId="0" fontId="19" fillId="26" borderId="2" applyAlignment="1" pivotButton="0" quotePrefix="0" xfId="0">
      <alignment horizontal="center" vertical="center" wrapText="1"/>
    </xf>
    <xf numFmtId="0" fontId="19" fillId="26" borderId="2" applyAlignment="1" pivotButton="0" quotePrefix="0" xfId="0">
      <alignment horizontal="left" vertical="center" wrapText="1"/>
    </xf>
    <xf numFmtId="0" fontId="19" fillId="27" borderId="2" applyAlignment="1" pivotButton="0" quotePrefix="0" xfId="0">
      <alignment horizontal="left" vertical="center" wrapText="1"/>
    </xf>
    <xf numFmtId="0" fontId="19" fillId="26" borderId="2" applyAlignment="1" pivotButton="0" quotePrefix="0" xfId="0">
      <alignment horizontal="left" vertical="center"/>
    </xf>
    <xf numFmtId="0" fontId="19" fillId="26" borderId="4" applyAlignment="1" pivotButton="0" quotePrefix="0" xfId="0">
      <alignment horizontal="center" vertical="center" wrapText="1"/>
    </xf>
    <xf numFmtId="0" fontId="19" fillId="26" borderId="4" applyAlignment="1" pivotButton="0" quotePrefix="0" xfId="0">
      <alignment horizontal="left" vertical="center" wrapText="1"/>
    </xf>
    <xf numFmtId="0" fontId="20" fillId="26" borderId="2" applyAlignment="1" pivotButton="0" quotePrefix="0" xfId="0">
      <alignment horizontal="left" vertical="center" wrapText="1"/>
    </xf>
    <xf numFmtId="0" fontId="20" fillId="26" borderId="2" applyAlignment="1" pivotButton="0" quotePrefix="0" xfId="0">
      <alignment horizontal="left" vertical="center"/>
    </xf>
    <xf numFmtId="0" fontId="21" fillId="0" borderId="0" applyAlignment="1" pivotButton="0" quotePrefix="0" xfId="0">
      <alignment horizontal="general" vertical="bottom"/>
    </xf>
    <xf numFmtId="0" fontId="19" fillId="25" borderId="0" applyAlignment="1" pivotButton="0" quotePrefix="0" xfId="0">
      <alignment horizontal="center" vertical="center" wrapText="1"/>
    </xf>
    <xf numFmtId="0" fontId="18" fillId="28" borderId="0" applyAlignment="1" pivotButton="0" quotePrefix="0" xfId="0">
      <alignment horizontal="center" vertical="center" wrapText="1"/>
    </xf>
    <xf numFmtId="0" fontId="19" fillId="29" borderId="18" applyAlignment="1" pivotButton="0" quotePrefix="0" xfId="0">
      <alignment horizontal="center" vertical="center" wrapText="1"/>
    </xf>
    <xf numFmtId="0" fontId="19" fillId="30" borderId="4" applyAlignment="1" pivotButton="0" quotePrefix="0" xfId="0">
      <alignment horizontal="center" vertical="center" wrapText="1"/>
    </xf>
    <xf numFmtId="0" fontId="19" fillId="30" borderId="4" applyAlignment="1" pivotButton="0" quotePrefix="0" xfId="0">
      <alignment horizontal="left" vertical="center" wrapText="1"/>
    </xf>
    <xf numFmtId="0" fontId="19" fillId="30" borderId="2" applyAlignment="1" pivotButton="0" quotePrefix="0" xfId="0">
      <alignment horizontal="left" vertical="center" wrapText="1"/>
    </xf>
    <xf numFmtId="0" fontId="19" fillId="30" borderId="2" applyAlignment="1" pivotButton="0" quotePrefix="0" xfId="0">
      <alignment horizontal="left" vertical="center"/>
    </xf>
    <xf numFmtId="0" fontId="19" fillId="29" borderId="3" applyAlignment="1" pivotButton="0" quotePrefix="0" xfId="0">
      <alignment horizontal="center" vertical="center" wrapText="1"/>
    </xf>
    <xf numFmtId="0" fontId="19" fillId="30" borderId="19" applyAlignment="1" pivotButton="0" quotePrefix="0" xfId="0">
      <alignment horizontal="center" vertical="center" wrapText="1"/>
    </xf>
    <xf numFmtId="0" fontId="19" fillId="30" borderId="19" applyAlignment="1" pivotButton="0" quotePrefix="0" xfId="0">
      <alignment horizontal="left" vertical="center" wrapText="1"/>
    </xf>
    <xf numFmtId="0" fontId="18" fillId="31" borderId="0" applyAlignment="1" pivotButton="0" quotePrefix="0" xfId="0">
      <alignment horizontal="center" vertical="center" wrapText="1"/>
    </xf>
    <xf numFmtId="0" fontId="19" fillId="32" borderId="18" applyAlignment="1" pivotButton="0" quotePrefix="0" xfId="0">
      <alignment horizontal="center" vertical="center" wrapText="1"/>
    </xf>
    <xf numFmtId="0" fontId="19" fillId="33" borderId="2" applyAlignment="1" pivotButton="0" quotePrefix="0" xfId="0">
      <alignment horizontal="center" vertical="center" wrapText="1"/>
    </xf>
    <xf numFmtId="0" fontId="19" fillId="33" borderId="2" applyAlignment="1" pivotButton="0" quotePrefix="0" xfId="0">
      <alignment horizontal="left" vertical="center" wrapText="1"/>
    </xf>
    <xf numFmtId="0" fontId="19" fillId="33" borderId="2" applyAlignment="1" pivotButton="0" quotePrefix="0" xfId="0">
      <alignment horizontal="left" vertical="center"/>
    </xf>
    <xf numFmtId="0" fontId="19" fillId="33" borderId="4" applyAlignment="1" pivotButton="0" quotePrefix="0" xfId="0">
      <alignment horizontal="center" vertical="center" wrapText="1"/>
    </xf>
    <xf numFmtId="0" fontId="19" fillId="33" borderId="4" applyAlignment="1" pivotButton="0" quotePrefix="0" xfId="0">
      <alignment horizontal="left" vertical="center" wrapText="1"/>
    </xf>
    <xf numFmtId="0" fontId="17" fillId="33" borderId="19" applyAlignment="1" pivotButton="0" quotePrefix="0" xfId="0">
      <alignment horizontal="center" vertical="center"/>
    </xf>
    <xf numFmtId="0" fontId="17" fillId="33" borderId="19" applyAlignment="1" pivotButton="0" quotePrefix="0" xfId="0">
      <alignment horizontal="left" vertical="center"/>
    </xf>
    <xf numFmtId="0" fontId="18" fillId="34" borderId="0" applyAlignment="1" pivotButton="0" quotePrefix="0" xfId="0">
      <alignment horizontal="center" vertical="center" wrapText="1"/>
    </xf>
    <xf numFmtId="0" fontId="19" fillId="35" borderId="18" applyAlignment="1" pivotButton="0" quotePrefix="0" xfId="0">
      <alignment horizontal="center" vertical="center" wrapText="1"/>
    </xf>
    <xf numFmtId="0" fontId="19" fillId="36" borderId="3" applyAlignment="1" pivotButton="0" quotePrefix="0" xfId="0">
      <alignment horizontal="center" vertical="center" wrapText="1"/>
    </xf>
    <xf numFmtId="0" fontId="19" fillId="36" borderId="3" applyAlignment="1" pivotButton="0" quotePrefix="0" xfId="0">
      <alignment horizontal="left" vertical="center" wrapText="1"/>
    </xf>
    <xf numFmtId="0" fontId="19" fillId="27" borderId="18" applyAlignment="1" pivotButton="0" quotePrefix="0" xfId="0">
      <alignment horizontal="general" vertical="center" wrapText="1"/>
    </xf>
    <xf numFmtId="0" fontId="19" fillId="36" borderId="18" applyAlignment="1" pivotButton="0" quotePrefix="0" xfId="0">
      <alignment horizontal="general" vertical="center" wrapText="1"/>
    </xf>
    <xf numFmtId="0" fontId="19" fillId="36" borderId="18" applyAlignment="1" pivotButton="0" quotePrefix="0" xfId="0">
      <alignment horizontal="general" vertical="center"/>
    </xf>
    <xf numFmtId="0" fontId="19" fillId="36" borderId="18" applyAlignment="1" pivotButton="0" quotePrefix="0" xfId="0">
      <alignment horizontal="center" vertical="center" wrapText="1"/>
    </xf>
    <xf numFmtId="0" fontId="19" fillId="36" borderId="18" applyAlignment="1" pivotButton="0" quotePrefix="0" xfId="0">
      <alignment horizontal="left" vertical="center" wrapText="1"/>
    </xf>
    <xf numFmtId="0" fontId="18" fillId="37" borderId="0" applyAlignment="1" pivotButton="0" quotePrefix="0" xfId="0">
      <alignment horizontal="center" vertical="center" wrapText="1"/>
    </xf>
    <xf numFmtId="0" fontId="19" fillId="38" borderId="18" applyAlignment="1" pivotButton="0" quotePrefix="0" xfId="0">
      <alignment horizontal="center" vertical="center" wrapText="1"/>
    </xf>
    <xf numFmtId="0" fontId="19" fillId="20" borderId="18" applyAlignment="1" pivotButton="0" quotePrefix="0" xfId="0">
      <alignment horizontal="center" vertical="center" wrapText="1"/>
    </xf>
    <xf numFmtId="0" fontId="19" fillId="20" borderId="18" applyAlignment="1" pivotButton="0" quotePrefix="0" xfId="0">
      <alignment horizontal="left" vertical="center" wrapText="1"/>
    </xf>
    <xf numFmtId="0" fontId="19" fillId="20" borderId="18" applyAlignment="1" pivotButton="0" quotePrefix="0" xfId="0">
      <alignment horizontal="general" vertical="center" wrapText="1"/>
    </xf>
    <xf numFmtId="0" fontId="19" fillId="20" borderId="18" applyAlignment="1" pivotButton="0" quotePrefix="0" xfId="0">
      <alignment horizontal="general" vertical="center"/>
    </xf>
    <xf numFmtId="0" fontId="19" fillId="20" borderId="3" applyAlignment="1" pivotButton="0" quotePrefix="0" xfId="0">
      <alignment horizontal="center" vertical="center" wrapText="1"/>
    </xf>
    <xf numFmtId="0" fontId="19" fillId="20" borderId="3" applyAlignment="1" pivotButton="0" quotePrefix="0" xfId="0">
      <alignment horizontal="left" vertical="center" wrapText="1"/>
    </xf>
    <xf numFmtId="0" fontId="19" fillId="20" borderId="18" applyAlignment="1" pivotButton="0" quotePrefix="0" xfId="0">
      <alignment horizontal="left" vertical="center"/>
    </xf>
    <xf numFmtId="0" fontId="18" fillId="39" borderId="0" applyAlignment="1" pivotButton="0" quotePrefix="0" xfId="0">
      <alignment horizontal="center" vertical="center" wrapText="1"/>
    </xf>
    <xf numFmtId="0" fontId="19" fillId="40" borderId="3" applyAlignment="1" pivotButton="0" quotePrefix="0" xfId="0">
      <alignment horizontal="center" vertical="center" wrapText="1"/>
    </xf>
    <xf numFmtId="0" fontId="19" fillId="41" borderId="3" applyAlignment="1" pivotButton="0" quotePrefix="0" xfId="0">
      <alignment horizontal="center" vertical="center" wrapText="1"/>
    </xf>
    <xf numFmtId="0" fontId="19" fillId="41" borderId="3" applyAlignment="1" pivotButton="0" quotePrefix="0" xfId="0">
      <alignment horizontal="left" vertical="center" wrapText="1"/>
    </xf>
    <xf numFmtId="0" fontId="19" fillId="41" borderId="18" applyAlignment="1" pivotButton="0" quotePrefix="0" xfId="0">
      <alignment horizontal="general" vertical="center" wrapText="1"/>
    </xf>
    <xf numFmtId="0" fontId="19" fillId="41" borderId="18" applyAlignment="1" pivotButton="0" quotePrefix="0" xfId="0">
      <alignment horizontal="general" vertical="center"/>
    </xf>
    <xf numFmtId="0" fontId="19" fillId="41" borderId="18" applyAlignment="1" pivotButton="0" quotePrefix="0" xfId="0">
      <alignment horizontal="center" vertical="center" wrapText="1"/>
    </xf>
    <xf numFmtId="0" fontId="19" fillId="41" borderId="18" applyAlignment="1" pivotButton="0" quotePrefix="0" xfId="0">
      <alignment horizontal="left" vertical="center"/>
    </xf>
    <xf numFmtId="0" fontId="19" fillId="40" borderId="18" applyAlignment="1" pivotButton="0" quotePrefix="0" xfId="0">
      <alignment horizontal="center" vertical="center" wrapText="1"/>
    </xf>
    <xf numFmtId="0" fontId="19" fillId="41" borderId="18" applyAlignment="1" pivotButton="0" quotePrefix="0" xfId="0">
      <alignment horizontal="left" vertical="center" wrapText="1"/>
    </xf>
    <xf numFmtId="0" fontId="17" fillId="0" borderId="0" applyAlignment="1" pivotButton="0" quotePrefix="0" xfId="0">
      <alignment horizontal="general" vertical="bottom" wrapText="1"/>
    </xf>
    <xf numFmtId="0" fontId="17" fillId="0" borderId="0" applyAlignment="1" pivotButton="0" quotePrefix="0" xfId="0">
      <alignment horizontal="center" vertical="bottom"/>
    </xf>
    <xf numFmtId="0" fontId="22" fillId="42" borderId="0" applyAlignment="1" pivotButton="0" quotePrefix="0" xfId="0">
      <alignment horizontal="left" vertical="center"/>
    </xf>
    <xf numFmtId="0" fontId="22" fillId="42" borderId="0" applyAlignment="1" pivotButton="0" quotePrefix="0" xfId="0">
      <alignment horizontal="general" vertical="center" wrapText="1"/>
    </xf>
    <xf numFmtId="0" fontId="0" fillId="7" borderId="0" applyAlignment="1" pivotButton="0" quotePrefix="0" xfId="0">
      <alignment horizontal="left" vertical="bottom"/>
    </xf>
    <xf numFmtId="0" fontId="23" fillId="7" borderId="0" applyAlignment="1" pivotButton="0" quotePrefix="0" xfId="0">
      <alignment horizontal="left" vertical="top"/>
    </xf>
    <xf numFmtId="0" fontId="24" fillId="7" borderId="0" applyAlignment="1" pivotButton="0" quotePrefix="0" xfId="0">
      <alignment horizontal="general" vertical="bottom" wrapText="1"/>
    </xf>
    <xf numFmtId="0" fontId="25" fillId="7" borderId="0" applyAlignment="1" pivotButton="0" quotePrefix="0" xfId="0">
      <alignment horizontal="left" vertical="top"/>
    </xf>
    <xf numFmtId="49" fontId="23" fillId="7" borderId="0" applyAlignment="1" pivotButton="0" quotePrefix="0" xfId="0">
      <alignment horizontal="left" vertical="top"/>
    </xf>
    <xf numFmtId="0" fontId="25" fillId="0" borderId="0" applyAlignment="1" pivotButton="0" quotePrefix="0" xfId="0">
      <alignment horizontal="general" vertical="bottom"/>
    </xf>
    <xf numFmtId="0" fontId="24" fillId="7" borderId="0" applyAlignment="1" pivotButton="0" quotePrefix="0" xfId="0">
      <alignment horizontal="general" vertical="bottom"/>
    </xf>
    <xf numFmtId="0" fontId="23" fillId="17" borderId="0" applyAlignment="1" pivotButton="0" quotePrefix="0" xfId="0">
      <alignment horizontal="left" vertical="top"/>
    </xf>
    <xf numFmtId="0" fontId="24" fillId="17" borderId="0" applyAlignment="1" pivotButton="0" quotePrefix="0" xfId="0">
      <alignment horizontal="left" vertical="bottom"/>
    </xf>
    <xf numFmtId="0" fontId="25" fillId="17" borderId="0" applyAlignment="1" pivotButton="0" quotePrefix="0" xfId="0">
      <alignment horizontal="left" vertical="top"/>
    </xf>
    <xf numFmtId="49" fontId="23" fillId="17" borderId="0" applyAlignment="1" pivotButton="0" quotePrefix="0" xfId="0">
      <alignment horizontal="left" vertical="top"/>
    </xf>
    <xf numFmtId="0" fontId="24" fillId="7" borderId="0" applyAlignment="1" pivotButton="0" quotePrefix="0" xfId="0">
      <alignment horizontal="left" vertical="bottom"/>
    </xf>
    <xf numFmtId="0" fontId="23" fillId="43" borderId="0" applyAlignment="1" pivotButton="0" quotePrefix="0" xfId="0">
      <alignment horizontal="left" vertical="top"/>
    </xf>
    <xf numFmtId="0" fontId="0" fillId="11" borderId="0" applyAlignment="1" pivotButton="0" quotePrefix="0" xfId="0">
      <alignment horizontal="left" vertical="bottom"/>
    </xf>
    <xf numFmtId="0" fontId="23" fillId="7" borderId="0" applyAlignment="1" pivotButton="0" quotePrefix="0" xfId="0">
      <alignment horizontal="general" vertical="top" wrapText="1"/>
    </xf>
    <xf numFmtId="0" fontId="0" fillId="14" borderId="0" applyAlignment="1" pivotButton="0" quotePrefix="0" xfId="0">
      <alignment horizontal="left" vertical="bottom"/>
    </xf>
    <xf numFmtId="0" fontId="0" fillId="17" borderId="0" applyAlignment="1" pivotButton="0" quotePrefix="0" xfId="0">
      <alignment horizontal="left" vertical="bottom"/>
    </xf>
    <xf numFmtId="0" fontId="23" fillId="11" borderId="0" applyAlignment="1" pivotButton="0" quotePrefix="0" xfId="0">
      <alignment horizontal="left" vertical="top"/>
    </xf>
    <xf numFmtId="0" fontId="25" fillId="11" borderId="0" applyAlignment="1" pivotButton="0" quotePrefix="0" xfId="0">
      <alignment horizontal="left" vertical="top"/>
    </xf>
    <xf numFmtId="49" fontId="23" fillId="11" borderId="0" applyAlignment="1" pivotButton="0" quotePrefix="0" xfId="0">
      <alignment horizontal="left" vertical="top"/>
    </xf>
    <xf numFmtId="0" fontId="24" fillId="11" borderId="0" applyAlignment="1" pivotButton="0" quotePrefix="0" xfId="0">
      <alignment horizontal="left" vertical="bottom"/>
    </xf>
    <xf numFmtId="0" fontId="23" fillId="14" borderId="0" applyAlignment="1" pivotButton="0" quotePrefix="0" xfId="0">
      <alignment horizontal="left" vertical="top"/>
    </xf>
    <xf numFmtId="0" fontId="24" fillId="14" borderId="0" applyAlignment="1" pivotButton="0" quotePrefix="0" xfId="0">
      <alignment horizontal="left" vertical="bottom"/>
    </xf>
    <xf numFmtId="0" fontId="25" fillId="14" borderId="0" applyAlignment="1" pivotButton="0" quotePrefix="0" xfId="0">
      <alignment horizontal="left" vertical="top"/>
    </xf>
    <xf numFmtId="49" fontId="23" fillId="14" borderId="0" applyAlignment="1" pivotButton="0" quotePrefix="0" xfId="0">
      <alignment horizontal="left" vertical="top"/>
    </xf>
    <xf numFmtId="0" fontId="0" fillId="20" borderId="0" applyAlignment="1" pivotButton="0" quotePrefix="0" xfId="0">
      <alignment horizontal="left" vertical="bottom"/>
    </xf>
    <xf numFmtId="0" fontId="0" fillId="23" borderId="0" applyAlignment="1" pivotButton="0" quotePrefix="0" xfId="0">
      <alignment horizontal="left" vertical="bottom"/>
    </xf>
    <xf numFmtId="0" fontId="0" fillId="44" borderId="0" applyAlignment="1" pivotButton="0" quotePrefix="0" xfId="0">
      <alignment horizontal="left" vertical="bottom"/>
    </xf>
    <xf numFmtId="0" fontId="23" fillId="44" borderId="0" applyAlignment="1" pivotButton="0" quotePrefix="0" xfId="0">
      <alignment horizontal="left" vertical="top"/>
    </xf>
    <xf numFmtId="0" fontId="24" fillId="44" borderId="0" applyAlignment="1" pivotButton="0" quotePrefix="0" xfId="0">
      <alignment horizontal="general" vertical="bottom"/>
    </xf>
    <xf numFmtId="49" fontId="23" fillId="44" borderId="0" applyAlignment="1" pivotButton="0" quotePrefix="0" xfId="0">
      <alignment horizontal="left" vertical="top"/>
    </xf>
    <xf numFmtId="0" fontId="25" fillId="44" borderId="0" applyAlignment="1" pivotButton="0" quotePrefix="0" xfId="0">
      <alignment horizontal="left" vertical="top"/>
    </xf>
    <xf numFmtId="0" fontId="0" fillId="45" borderId="0" applyAlignment="1" pivotButton="0" quotePrefix="0" xfId="0">
      <alignment horizontal="left" vertical="bottom"/>
    </xf>
    <xf numFmtId="0" fontId="23" fillId="20" borderId="0" applyAlignment="1" pivotButton="0" quotePrefix="0" xfId="0">
      <alignment horizontal="left" vertical="top"/>
    </xf>
    <xf numFmtId="0" fontId="25" fillId="20" borderId="0" applyAlignment="1" pivotButton="0" quotePrefix="0" xfId="0">
      <alignment horizontal="left" vertical="top"/>
    </xf>
    <xf numFmtId="49" fontId="23" fillId="20" borderId="0" applyAlignment="1" pivotButton="0" quotePrefix="0" xfId="0">
      <alignment horizontal="left" vertical="top"/>
    </xf>
    <xf numFmtId="0" fontId="23" fillId="45" borderId="0" applyAlignment="1" pivotButton="0" quotePrefix="0" xfId="0">
      <alignment horizontal="left" vertical="top"/>
    </xf>
    <xf numFmtId="0" fontId="24" fillId="45" borderId="0" applyAlignment="1" pivotButton="0" quotePrefix="0" xfId="0">
      <alignment horizontal="left" vertical="bottom"/>
    </xf>
    <xf numFmtId="0" fontId="25" fillId="45" borderId="0" applyAlignment="1" pivotButton="0" quotePrefix="0" xfId="0">
      <alignment horizontal="left" vertical="top"/>
    </xf>
    <xf numFmtId="49" fontId="23" fillId="45" borderId="0" applyAlignment="1" pivotButton="0" quotePrefix="0" xfId="0">
      <alignment horizontal="left" vertical="top"/>
    </xf>
    <xf numFmtId="0" fontId="23" fillId="23" borderId="0" applyAlignment="1" pivotButton="0" quotePrefix="0" xfId="0">
      <alignment horizontal="left" vertical="top"/>
    </xf>
    <xf numFmtId="0" fontId="25" fillId="23" borderId="0" applyAlignment="1" pivotButton="0" quotePrefix="0" xfId="0">
      <alignment horizontal="left" vertical="top"/>
    </xf>
    <xf numFmtId="49" fontId="23" fillId="23" borderId="0" applyAlignment="1" pivotButton="0" quotePrefix="0" xfId="0">
      <alignment horizontal="left" vertical="top"/>
    </xf>
    <xf numFmtId="0" fontId="23" fillId="0" borderId="0" applyAlignment="1" pivotButton="0" quotePrefix="0" xfId="0">
      <alignment horizontal="left" vertical="top"/>
    </xf>
    <xf numFmtId="0" fontId="25" fillId="46" borderId="0" applyAlignment="1" pivotButton="0" quotePrefix="0" xfId="0">
      <alignment horizontal="left" vertical="top"/>
    </xf>
    <xf numFmtId="49" fontId="23" fillId="0" borderId="0" applyAlignment="1" pivotButton="0" quotePrefix="0" xfId="0">
      <alignment horizontal="left" vertical="top"/>
    </xf>
    <xf numFmtId="0" fontId="22" fillId="42" borderId="0" applyAlignment="1" pivotButton="0" quotePrefix="0" xfId="0">
      <alignment horizontal="general" vertical="bottom" wrapText="1"/>
    </xf>
    <xf numFmtId="0" fontId="23" fillId="17" borderId="0" applyAlignment="1" pivotButton="0" quotePrefix="0" xfId="0">
      <alignment horizontal="general" vertical="top" wrapText="1"/>
    </xf>
    <xf numFmtId="0" fontId="23" fillId="17" borderId="0" applyAlignment="1" pivotButton="0" quotePrefix="0" xfId="0">
      <alignment horizontal="center" vertical="top" wrapText="1"/>
    </xf>
    <xf numFmtId="0" fontId="23" fillId="7" borderId="0" applyAlignment="1" pivotButton="0" quotePrefix="0" xfId="0">
      <alignment horizontal="center" vertical="top" wrapText="1"/>
    </xf>
    <xf numFmtId="0" fontId="23" fillId="11" borderId="0" applyAlignment="1" pivotButton="0" quotePrefix="0" xfId="0">
      <alignment horizontal="general" vertical="top"/>
    </xf>
    <xf numFmtId="0" fontId="23" fillId="11" borderId="0" applyAlignment="1" pivotButton="0" quotePrefix="0" xfId="0">
      <alignment horizontal="general" vertical="bottom"/>
    </xf>
    <xf numFmtId="49" fontId="23" fillId="11" borderId="0" applyAlignment="1" pivotButton="0" quotePrefix="0" xfId="0">
      <alignment horizontal="center" vertical="top"/>
    </xf>
    <xf numFmtId="0" fontId="23" fillId="11" borderId="0" applyAlignment="1" pivotButton="0" quotePrefix="0" xfId="0">
      <alignment horizontal="center" vertical="top"/>
    </xf>
    <xf numFmtId="0" fontId="23" fillId="11" borderId="0" applyAlignment="1" pivotButton="0" quotePrefix="0" xfId="0">
      <alignment horizontal="general" vertical="top" wrapText="1"/>
    </xf>
    <xf numFmtId="0" fontId="0" fillId="11" borderId="0" applyAlignment="1" pivotButton="0" quotePrefix="0" xfId="0">
      <alignment horizontal="general" vertical="bottom"/>
    </xf>
    <xf numFmtId="0" fontId="0" fillId="11" borderId="0" applyAlignment="1" pivotButton="0" quotePrefix="0" xfId="0">
      <alignment horizontal="center" vertical="bottom"/>
    </xf>
    <xf numFmtId="0" fontId="23" fillId="11" borderId="0" applyAlignment="1" pivotButton="0" quotePrefix="0" xfId="0">
      <alignment horizontal="center" vertical="top" wrapText="1"/>
    </xf>
    <xf numFmtId="0" fontId="23" fillId="14" borderId="0" applyAlignment="1" pivotButton="0" quotePrefix="0" xfId="0">
      <alignment horizontal="general" vertical="bottom" wrapText="1"/>
    </xf>
    <xf numFmtId="0" fontId="23" fillId="14" borderId="0" applyAlignment="1" pivotButton="0" quotePrefix="0" xfId="0">
      <alignment horizontal="center" vertical="bottom" wrapText="1"/>
    </xf>
    <xf numFmtId="0" fontId="23" fillId="20" borderId="0" applyAlignment="1" pivotButton="0" quotePrefix="0" xfId="0">
      <alignment horizontal="general" vertical="bottom" wrapText="1"/>
    </xf>
    <xf numFmtId="0" fontId="23" fillId="20" borderId="0" applyAlignment="1" pivotButton="0" quotePrefix="0" xfId="0">
      <alignment horizontal="center" vertical="bottom" wrapText="1"/>
    </xf>
    <xf numFmtId="0" fontId="23" fillId="27" borderId="0" applyAlignment="1" pivotButton="0" quotePrefix="0" xfId="0">
      <alignment horizontal="center" vertical="bottom" wrapText="1"/>
    </xf>
    <xf numFmtId="49" fontId="23" fillId="23" borderId="0" applyAlignment="1" pivotButton="0" quotePrefix="0" xfId="0">
      <alignment horizontal="general" vertical="top"/>
    </xf>
    <xf numFmtId="49" fontId="23" fillId="23" borderId="0" applyAlignment="1" pivotButton="0" quotePrefix="0" xfId="0">
      <alignment horizontal="center" vertical="top"/>
    </xf>
    <xf numFmtId="49" fontId="23" fillId="0" borderId="0" applyAlignment="1" pivotButton="0" quotePrefix="0" xfId="0">
      <alignment horizontal="center" vertical="top"/>
    </xf>
    <xf numFmtId="0" fontId="23" fillId="0" borderId="0" applyAlignment="1" pivotButton="0" quotePrefix="0" xfId="0">
      <alignment horizontal="center" vertical="top"/>
    </xf>
    <xf numFmtId="0" fontId="23" fillId="0" borderId="0" applyAlignment="1" pivotButton="0" quotePrefix="0" xfId="0">
      <alignment horizontal="general" vertical="top" wrapText="1"/>
    </xf>
    <xf numFmtId="0" fontId="26" fillId="0" borderId="20" applyAlignment="1" pivotButton="0" quotePrefix="0" xfId="0">
      <alignment horizontal="general" vertical="bottom"/>
    </xf>
    <xf numFmtId="0" fontId="23" fillId="0" borderId="0" applyAlignment="1" pivotButton="0" quotePrefix="0" xfId="0">
      <alignment horizontal="general" vertical="bottom"/>
    </xf>
    <xf numFmtId="0" fontId="27"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4" fillId="2" borderId="0" applyAlignment="1" pivotButton="0" quotePrefix="0" xfId="0">
      <alignment horizontal="general" vertical="bottom"/>
    </xf>
    <xf numFmtId="0" fontId="5" fillId="0" borderId="0" applyAlignment="1" pivotButton="0" quotePrefix="0" xfId="0">
      <alignment horizontal="center" vertical="bottom"/>
    </xf>
    <xf numFmtId="0" fontId="6" fillId="0" borderId="0" applyAlignment="1" pivotButton="0" quotePrefix="0" xfId="0">
      <alignment horizontal="center" vertical="bottom"/>
    </xf>
    <xf numFmtId="0" fontId="0" fillId="3" borderId="0" applyAlignment="1" pivotButton="0" quotePrefix="0" xfId="0">
      <alignment horizontal="general" vertical="bottom"/>
    </xf>
    <xf numFmtId="164" fontId="0" fillId="3" borderId="0" applyAlignment="1" pivotButton="0" quotePrefix="0" xfId="0">
      <alignment horizontal="general" vertical="bottom"/>
    </xf>
    <xf numFmtId="0" fontId="0" fillId="0" borderId="0" applyAlignment="1" pivotButton="0" quotePrefix="0" xfId="0">
      <alignment horizontal="center" vertical="center"/>
    </xf>
    <xf numFmtId="0" fontId="0" fillId="0" borderId="0" applyAlignment="1" pivotButton="0" quotePrefix="0" xfId="0">
      <alignment horizontal="left" vertical="bottom"/>
    </xf>
    <xf numFmtId="0" fontId="8" fillId="4" borderId="0" applyAlignment="1" pivotButton="0" quotePrefix="0" xfId="0">
      <alignment horizontal="center" vertical="center" wrapText="1"/>
    </xf>
    <xf numFmtId="0" fontId="9" fillId="4" borderId="0" applyAlignment="1" pivotButton="0" quotePrefix="0" xfId="0">
      <alignment horizontal="center" vertical="center" wrapText="1"/>
    </xf>
    <xf numFmtId="0" fontId="8" fillId="4" borderId="0" applyAlignment="1" pivotButton="0" quotePrefix="0" xfId="0">
      <alignment horizontal="general" vertical="center" wrapText="1"/>
    </xf>
    <xf numFmtId="0" fontId="8" fillId="4" borderId="0" applyAlignment="1" pivotButton="0" quotePrefix="0" xfId="0">
      <alignment horizontal="left" vertical="center"/>
    </xf>
    <xf numFmtId="0" fontId="10" fillId="4" borderId="0" applyAlignment="1" pivotButton="0" quotePrefix="0" xfId="0">
      <alignment horizontal="left" vertical="center" wrapText="1"/>
    </xf>
    <xf numFmtId="0" fontId="10" fillId="4"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2" applyAlignment="1" pivotButton="0" quotePrefix="0" xfId="0">
      <alignment horizontal="left" vertical="center" wrapText="1"/>
    </xf>
    <xf numFmtId="0" fontId="13" fillId="7" borderId="2" applyAlignment="1" pivotButton="0" quotePrefix="0" xfId="0">
      <alignment horizontal="center" vertical="center" wrapText="1"/>
    </xf>
    <xf numFmtId="0" fontId="13" fillId="7" borderId="2" applyAlignment="1" pivotButton="0" quotePrefix="0" xfId="0">
      <alignment horizontal="left" vertical="center"/>
    </xf>
    <xf numFmtId="0" fontId="14" fillId="7" borderId="2" applyAlignment="1" pivotButton="0" quotePrefix="0" xfId="0">
      <alignment horizontal="left" vertical="center" wrapText="1"/>
    </xf>
    <xf numFmtId="0" fontId="0" fillId="0" borderId="1" pivotButton="0" quotePrefix="0" xfId="0"/>
    <xf numFmtId="0" fontId="12" fillId="6" borderId="3" applyAlignment="1" pivotButton="0" quotePrefix="0" xfId="0">
      <alignment horizontal="center" vertical="center" wrapText="1"/>
    </xf>
    <xf numFmtId="0" fontId="13" fillId="7" borderId="4" applyAlignment="1" pivotButton="0" quotePrefix="0" xfId="0">
      <alignment horizontal="left" vertical="center" wrapText="1"/>
    </xf>
    <xf numFmtId="0" fontId="0" fillId="0" borderId="2" pivotButton="0" quotePrefix="0" xfId="0"/>
    <xf numFmtId="0" fontId="15" fillId="8" borderId="2" applyAlignment="1" pivotButton="0" quotePrefix="0" xfId="0">
      <alignment horizontal="center" vertical="center" wrapText="1"/>
    </xf>
    <xf numFmtId="0" fontId="13" fillId="7" borderId="0" applyAlignment="1" pivotButton="0" quotePrefix="0" xfId="0">
      <alignment horizontal="left" vertical="center" wrapText="1"/>
    </xf>
    <xf numFmtId="0" fontId="13" fillId="7" borderId="0" applyAlignment="1" pivotButton="0" quotePrefix="0" xfId="0">
      <alignment horizontal="center" vertical="center" wrapText="1"/>
    </xf>
    <xf numFmtId="0" fontId="13" fillId="7" borderId="0" applyAlignment="1" pivotButton="0" quotePrefix="0" xfId="0">
      <alignment horizontal="left" vertical="center"/>
    </xf>
    <xf numFmtId="0" fontId="11" fillId="9" borderId="0" applyAlignment="1" pivotButton="0" quotePrefix="0" xfId="0">
      <alignment horizontal="center" vertical="center" wrapText="1"/>
    </xf>
    <xf numFmtId="0" fontId="12" fillId="10" borderId="1" applyAlignment="1" pivotButton="0" quotePrefix="0" xfId="0">
      <alignment horizontal="center" vertical="center" wrapText="1"/>
    </xf>
    <xf numFmtId="0" fontId="13" fillId="11" borderId="5" applyAlignment="1" pivotButton="0" quotePrefix="0" xfId="0">
      <alignment horizontal="left" vertical="center" wrapText="1"/>
    </xf>
    <xf numFmtId="0" fontId="13" fillId="11" borderId="5" applyAlignment="1" pivotButton="0" quotePrefix="0" xfId="0">
      <alignment horizontal="center" vertical="center" wrapText="1"/>
    </xf>
    <xf numFmtId="0" fontId="13" fillId="11" borderId="5" applyAlignment="1" pivotButton="0" quotePrefix="0" xfId="0">
      <alignment horizontal="left" vertical="center"/>
    </xf>
    <xf numFmtId="0" fontId="13" fillId="11" borderId="6" applyAlignment="1" pivotButton="0" quotePrefix="0" xfId="0">
      <alignment horizontal="left" vertical="center" wrapText="1"/>
    </xf>
    <xf numFmtId="0" fontId="0" fillId="0" borderId="5" pivotButton="0" quotePrefix="0" xfId="0"/>
    <xf numFmtId="0" fontId="11" fillId="12" borderId="0" applyAlignment="1" pivotButton="0" quotePrefix="0" xfId="0">
      <alignment horizontal="center" vertical="center" wrapText="1"/>
    </xf>
    <xf numFmtId="0" fontId="12" fillId="13" borderId="1" applyAlignment="1" pivotButton="0" quotePrefix="0" xfId="0">
      <alignment horizontal="center" vertical="center" wrapText="1"/>
    </xf>
    <xf numFmtId="0" fontId="13" fillId="14" borderId="7" applyAlignment="1" pivotButton="0" quotePrefix="0" xfId="0">
      <alignment horizontal="left" vertical="center" wrapText="1"/>
    </xf>
    <xf numFmtId="0" fontId="13" fillId="14" borderId="8" applyAlignment="1" pivotButton="0" quotePrefix="0" xfId="0">
      <alignment horizontal="center" vertical="center" wrapText="1"/>
    </xf>
    <xf numFmtId="0" fontId="13" fillId="14" borderId="8" applyAlignment="1" pivotButton="0" quotePrefix="0" xfId="0">
      <alignment horizontal="left" vertical="center"/>
    </xf>
    <xf numFmtId="0" fontId="13" fillId="14" borderId="8" applyAlignment="1" pivotButton="0" quotePrefix="0" xfId="0">
      <alignment horizontal="left" vertical="center" wrapText="1"/>
    </xf>
    <xf numFmtId="0" fontId="0" fillId="0" borderId="8" pivotButton="0" quotePrefix="0" xfId="0"/>
    <xf numFmtId="0" fontId="13" fillId="14" borderId="9" applyAlignment="1" pivotButton="0" quotePrefix="0" xfId="0">
      <alignment horizontal="left" vertical="center" wrapText="1"/>
    </xf>
    <xf numFmtId="0" fontId="13" fillId="14" borderId="10" applyAlignment="1" pivotButton="0" quotePrefix="0" xfId="0">
      <alignment horizontal="left" vertical="center" wrapText="1"/>
    </xf>
    <xf numFmtId="0" fontId="16" fillId="14" borderId="8" applyAlignment="1" pivotButton="0" quotePrefix="0" xfId="0">
      <alignment horizontal="left" vertical="center" wrapText="1"/>
    </xf>
    <xf numFmtId="0" fontId="11" fillId="15" borderId="0" applyAlignment="1" pivotButton="0" quotePrefix="0" xfId="0">
      <alignment horizontal="center" vertical="center" wrapText="1"/>
    </xf>
    <xf numFmtId="0" fontId="12" fillId="16" borderId="1" applyAlignment="1" pivotButton="0" quotePrefix="0" xfId="0">
      <alignment horizontal="center" vertical="center" wrapText="1"/>
    </xf>
    <xf numFmtId="0" fontId="13" fillId="17" borderId="11" applyAlignment="1" pivotButton="0" quotePrefix="0" xfId="0">
      <alignment horizontal="left" vertical="center" wrapText="1"/>
    </xf>
    <xf numFmtId="0" fontId="13" fillId="17" borderId="12" applyAlignment="1" pivotButton="0" quotePrefix="0" xfId="0">
      <alignment horizontal="center" vertical="center" wrapText="1"/>
    </xf>
    <xf numFmtId="0" fontId="13" fillId="17" borderId="12" applyAlignment="1" pivotButton="0" quotePrefix="0" xfId="0">
      <alignment horizontal="left" vertical="center"/>
    </xf>
    <xf numFmtId="0" fontId="13" fillId="17" borderId="12" applyAlignment="1" pivotButton="0" quotePrefix="0" xfId="0">
      <alignment horizontal="left" vertical="center" wrapText="1"/>
    </xf>
    <xf numFmtId="0" fontId="0" fillId="0" borderId="12" pivotButton="0" quotePrefix="0" xfId="0"/>
    <xf numFmtId="0" fontId="13" fillId="17" borderId="13" applyAlignment="1" pivotButton="0" quotePrefix="0" xfId="0">
      <alignment horizontal="left" vertical="center" wrapText="1"/>
    </xf>
    <xf numFmtId="0" fontId="14" fillId="17" borderId="12" applyAlignment="1" pivotButton="0" quotePrefix="0" xfId="0">
      <alignment horizontal="left" vertical="center" wrapText="1"/>
    </xf>
    <xf numFmtId="0" fontId="11" fillId="18" borderId="0" applyAlignment="1" pivotButton="0" quotePrefix="0" xfId="0">
      <alignment horizontal="center" vertical="center" wrapText="1"/>
    </xf>
    <xf numFmtId="0" fontId="12" fillId="19" borderId="1" applyAlignment="1" pivotButton="0" quotePrefix="0" xfId="0">
      <alignment horizontal="center" vertical="center" wrapText="1"/>
    </xf>
    <xf numFmtId="0" fontId="13" fillId="20" borderId="14" applyAlignment="1" pivotButton="0" quotePrefix="0" xfId="0">
      <alignment horizontal="left" vertical="center" wrapText="1"/>
    </xf>
    <xf numFmtId="0" fontId="13" fillId="20" borderId="14" applyAlignment="1" pivotButton="0" quotePrefix="0" xfId="0">
      <alignment horizontal="center" vertical="center" wrapText="1"/>
    </xf>
    <xf numFmtId="0" fontId="13" fillId="20" borderId="14" applyAlignment="1" pivotButton="0" quotePrefix="0" xfId="0">
      <alignment horizontal="left" vertical="center"/>
    </xf>
    <xf numFmtId="0" fontId="13" fillId="20" borderId="15" applyAlignment="1" pivotButton="0" quotePrefix="0" xfId="0">
      <alignment horizontal="left" vertical="center" wrapText="1"/>
    </xf>
    <xf numFmtId="0" fontId="0" fillId="0" borderId="14" pivotButton="0" quotePrefix="0" xfId="0"/>
    <xf numFmtId="0" fontId="14" fillId="20" borderId="14" applyAlignment="1" pivotButton="0" quotePrefix="0" xfId="0">
      <alignment horizontal="left" vertical="center" wrapText="1"/>
    </xf>
    <xf numFmtId="0" fontId="11" fillId="21" borderId="0" applyAlignment="1" pivotButton="0" quotePrefix="0" xfId="0">
      <alignment horizontal="center" vertical="center" wrapText="1"/>
    </xf>
    <xf numFmtId="0" fontId="12" fillId="22" borderId="1" applyAlignment="1" pivotButton="0" quotePrefix="0" xfId="0">
      <alignment horizontal="center" vertical="center" wrapText="1"/>
    </xf>
    <xf numFmtId="0" fontId="13" fillId="23" borderId="16" applyAlignment="1" pivotButton="0" quotePrefix="0" xfId="0">
      <alignment horizontal="left" vertical="center" wrapText="1"/>
    </xf>
    <xf numFmtId="0" fontId="13" fillId="23" borderId="16" applyAlignment="1" pivotButton="0" quotePrefix="0" xfId="0">
      <alignment horizontal="center" vertical="center" wrapText="1"/>
    </xf>
    <xf numFmtId="0" fontId="13" fillId="23" borderId="16" applyAlignment="1" pivotButton="0" quotePrefix="0" xfId="0">
      <alignment horizontal="left" vertical="center"/>
    </xf>
    <xf numFmtId="0" fontId="13" fillId="23" borderId="17" applyAlignment="1" pivotButton="0" quotePrefix="0" xfId="0">
      <alignment horizontal="left" vertical="center" wrapText="1"/>
    </xf>
    <xf numFmtId="0" fontId="0" fillId="0" borderId="16" pivotButton="0" quotePrefix="0" xfId="0"/>
    <xf numFmtId="0" fontId="12" fillId="22" borderId="1" applyAlignment="1" pivotButton="0" quotePrefix="0" xfId="0">
      <alignment horizontal="left" vertical="center" wrapText="1"/>
    </xf>
    <xf numFmtId="0" fontId="14" fillId="23" borderId="16" applyAlignment="1" pivotButton="0" quotePrefix="0" xfId="0">
      <alignment horizontal="left" vertical="center" wrapText="1"/>
    </xf>
    <xf numFmtId="0" fontId="17" fillId="0" borderId="0" applyAlignment="1" pivotButton="0" quotePrefix="0" xfId="0">
      <alignment horizontal="center" vertical="center"/>
    </xf>
    <xf numFmtId="0" fontId="17" fillId="0" borderId="0" applyAlignment="1" pivotButton="0" quotePrefix="0" xfId="0">
      <alignment horizontal="center" vertical="center" wrapText="1"/>
    </xf>
    <xf numFmtId="0" fontId="17" fillId="0" borderId="0" applyAlignment="1" pivotButton="0" quotePrefix="0" xfId="0">
      <alignment horizontal="left" vertical="center"/>
    </xf>
    <xf numFmtId="0" fontId="17" fillId="0" borderId="0" applyAlignment="1" pivotButton="0" quotePrefix="0" xfId="0">
      <alignment horizontal="left" vertical="bottom"/>
    </xf>
    <xf numFmtId="0" fontId="17" fillId="0" borderId="0" applyAlignment="1" pivotButton="0" quotePrefix="0" xfId="0">
      <alignment horizontal="general" vertical="bottom"/>
    </xf>
    <xf numFmtId="0" fontId="10" fillId="4" borderId="0" applyAlignment="1" pivotButton="0" quotePrefix="0" xfId="0">
      <alignment horizontal="center" vertical="center"/>
    </xf>
    <xf numFmtId="0" fontId="18" fillId="24" borderId="0" applyAlignment="1" pivotButton="0" quotePrefix="0" xfId="0">
      <alignment horizontal="center" vertical="center" wrapText="1"/>
    </xf>
    <xf numFmtId="0" fontId="19" fillId="25" borderId="3" applyAlignment="1" pivotButton="0" quotePrefix="0" xfId="0">
      <alignment horizontal="center" vertical="center" wrapText="1"/>
    </xf>
    <xf numFmtId="0" fontId="19" fillId="26" borderId="2" applyAlignment="1" pivotButton="0" quotePrefix="0" xfId="0">
      <alignment horizontal="center" vertical="center" wrapText="1"/>
    </xf>
    <xf numFmtId="0" fontId="19" fillId="26" borderId="2" applyAlignment="1" pivotButton="0" quotePrefix="0" xfId="0">
      <alignment horizontal="left" vertical="center" wrapText="1"/>
    </xf>
    <xf numFmtId="0" fontId="19" fillId="27" borderId="2" applyAlignment="1" pivotButton="0" quotePrefix="0" xfId="0">
      <alignment horizontal="left" vertical="center" wrapText="1"/>
    </xf>
    <xf numFmtId="0" fontId="19" fillId="26" borderId="2" applyAlignment="1" pivotButton="0" quotePrefix="0" xfId="0">
      <alignment horizontal="left" vertical="center"/>
    </xf>
    <xf numFmtId="0" fontId="19" fillId="26" borderId="4" applyAlignment="1" pivotButton="0" quotePrefix="0" xfId="0">
      <alignment horizontal="center" vertical="center" wrapText="1"/>
    </xf>
    <xf numFmtId="0" fontId="19" fillId="26" borderId="4" applyAlignment="1" pivotButton="0" quotePrefix="0" xfId="0">
      <alignment horizontal="left" vertical="center" wrapText="1"/>
    </xf>
    <xf numFmtId="0" fontId="21" fillId="0" borderId="0" applyAlignment="1" pivotButton="0" quotePrefix="0" xfId="0">
      <alignment horizontal="general" vertical="bottom"/>
    </xf>
    <xf numFmtId="0" fontId="20" fillId="26" borderId="2" applyAlignment="1" pivotButton="0" quotePrefix="0" xfId="0">
      <alignment horizontal="left" vertical="center" wrapText="1"/>
    </xf>
    <xf numFmtId="0" fontId="20" fillId="26" borderId="2" applyAlignment="1" pivotButton="0" quotePrefix="0" xfId="0">
      <alignment horizontal="left" vertical="center"/>
    </xf>
    <xf numFmtId="0" fontId="19" fillId="25" borderId="0" applyAlignment="1" pivotButton="0" quotePrefix="0" xfId="0">
      <alignment horizontal="center" vertical="center" wrapText="1"/>
    </xf>
    <xf numFmtId="0" fontId="18" fillId="28" borderId="0" applyAlignment="1" pivotButton="0" quotePrefix="0" xfId="0">
      <alignment horizontal="center" vertical="center" wrapText="1"/>
    </xf>
    <xf numFmtId="0" fontId="19" fillId="29" borderId="18" applyAlignment="1" pivotButton="0" quotePrefix="0" xfId="0">
      <alignment horizontal="center" vertical="center" wrapText="1"/>
    </xf>
    <xf numFmtId="0" fontId="19" fillId="30" borderId="4" applyAlignment="1" pivotButton="0" quotePrefix="0" xfId="0">
      <alignment horizontal="center" vertical="center" wrapText="1"/>
    </xf>
    <xf numFmtId="0" fontId="19" fillId="30" borderId="4" applyAlignment="1" pivotButton="0" quotePrefix="0" xfId="0">
      <alignment horizontal="left" vertical="center" wrapText="1"/>
    </xf>
    <xf numFmtId="0" fontId="19" fillId="30" borderId="2" applyAlignment="1" pivotButton="0" quotePrefix="0" xfId="0">
      <alignment horizontal="left" vertical="center" wrapText="1"/>
    </xf>
    <xf numFmtId="0" fontId="19" fillId="30" borderId="2" applyAlignment="1" pivotButton="0" quotePrefix="0" xfId="0">
      <alignment horizontal="left" vertical="center"/>
    </xf>
    <xf numFmtId="0" fontId="19" fillId="29" borderId="3" applyAlignment="1" pivotButton="0" quotePrefix="0" xfId="0">
      <alignment horizontal="center" vertical="center" wrapText="1"/>
    </xf>
    <xf numFmtId="0" fontId="19" fillId="30" borderId="19" applyAlignment="1" pivotButton="0" quotePrefix="0" xfId="0">
      <alignment horizontal="center" vertical="center" wrapText="1"/>
    </xf>
    <xf numFmtId="0" fontId="19" fillId="30" borderId="19" applyAlignment="1" pivotButton="0" quotePrefix="0" xfId="0">
      <alignment horizontal="left" vertical="center" wrapText="1"/>
    </xf>
    <xf numFmtId="0" fontId="18" fillId="31" borderId="0" applyAlignment="1" pivotButton="0" quotePrefix="0" xfId="0">
      <alignment horizontal="center" vertical="center" wrapText="1"/>
    </xf>
    <xf numFmtId="0" fontId="19" fillId="32" borderId="18" applyAlignment="1" pivotButton="0" quotePrefix="0" xfId="0">
      <alignment horizontal="center" vertical="center" wrapText="1"/>
    </xf>
    <xf numFmtId="0" fontId="19" fillId="33" borderId="2" applyAlignment="1" pivotButton="0" quotePrefix="0" xfId="0">
      <alignment horizontal="center" vertical="center" wrapText="1"/>
    </xf>
    <xf numFmtId="0" fontId="19" fillId="33" borderId="2" applyAlignment="1" pivotButton="0" quotePrefix="0" xfId="0">
      <alignment horizontal="left" vertical="center" wrapText="1"/>
    </xf>
    <xf numFmtId="0" fontId="19" fillId="33" borderId="2" applyAlignment="1" pivotButton="0" quotePrefix="0" xfId="0">
      <alignment horizontal="left" vertical="center"/>
    </xf>
    <xf numFmtId="0" fontId="19" fillId="33" borderId="4" applyAlignment="1" pivotButton="0" quotePrefix="0" xfId="0">
      <alignment horizontal="center" vertical="center" wrapText="1"/>
    </xf>
    <xf numFmtId="0" fontId="19" fillId="33" borderId="4" applyAlignment="1" pivotButton="0" quotePrefix="0" xfId="0">
      <alignment horizontal="left" vertical="center" wrapText="1"/>
    </xf>
    <xf numFmtId="0" fontId="17" fillId="33" borderId="19" applyAlignment="1" pivotButton="0" quotePrefix="0" xfId="0">
      <alignment horizontal="center" vertical="center"/>
    </xf>
    <xf numFmtId="0" fontId="17" fillId="33" borderId="19" applyAlignment="1" pivotButton="0" quotePrefix="0" xfId="0">
      <alignment horizontal="left" vertical="center"/>
    </xf>
    <xf numFmtId="0" fontId="18" fillId="34" borderId="0" applyAlignment="1" pivotButton="0" quotePrefix="0" xfId="0">
      <alignment horizontal="center" vertical="center" wrapText="1"/>
    </xf>
    <xf numFmtId="0" fontId="19" fillId="35" borderId="18" applyAlignment="1" pivotButton="0" quotePrefix="0" xfId="0">
      <alignment horizontal="center" vertical="center" wrapText="1"/>
    </xf>
    <xf numFmtId="0" fontId="19" fillId="36" borderId="3" applyAlignment="1" pivotButton="0" quotePrefix="0" xfId="0">
      <alignment horizontal="center" vertical="center" wrapText="1"/>
    </xf>
    <xf numFmtId="0" fontId="19" fillId="36" borderId="3" applyAlignment="1" pivotButton="0" quotePrefix="0" xfId="0">
      <alignment horizontal="left" vertical="center" wrapText="1"/>
    </xf>
    <xf numFmtId="0" fontId="19" fillId="27" borderId="18" applyAlignment="1" pivotButton="0" quotePrefix="0" xfId="0">
      <alignment horizontal="general" vertical="center" wrapText="1"/>
    </xf>
    <xf numFmtId="0" fontId="19" fillId="36" borderId="18" applyAlignment="1" pivotButton="0" quotePrefix="0" xfId="0">
      <alignment horizontal="general" vertical="center" wrapText="1"/>
    </xf>
    <xf numFmtId="0" fontId="19" fillId="36" borderId="18" applyAlignment="1" pivotButton="0" quotePrefix="0" xfId="0">
      <alignment horizontal="general" vertical="center"/>
    </xf>
    <xf numFmtId="0" fontId="19" fillId="36" borderId="18" applyAlignment="1" pivotButton="0" quotePrefix="0" xfId="0">
      <alignment horizontal="center" vertical="center" wrapText="1"/>
    </xf>
    <xf numFmtId="0" fontId="19" fillId="36" borderId="18" applyAlignment="1" pivotButton="0" quotePrefix="0" xfId="0">
      <alignment horizontal="left" vertical="center" wrapText="1"/>
    </xf>
    <xf numFmtId="0" fontId="18" fillId="37" borderId="0" applyAlignment="1" pivotButton="0" quotePrefix="0" xfId="0">
      <alignment horizontal="center" vertical="center" wrapText="1"/>
    </xf>
    <xf numFmtId="0" fontId="19" fillId="38" borderId="18" applyAlignment="1" pivotButton="0" quotePrefix="0" xfId="0">
      <alignment horizontal="center" vertical="center" wrapText="1"/>
    </xf>
    <xf numFmtId="0" fontId="19" fillId="20" borderId="18" applyAlignment="1" pivotButton="0" quotePrefix="0" xfId="0">
      <alignment horizontal="center" vertical="center" wrapText="1"/>
    </xf>
    <xf numFmtId="0" fontId="19" fillId="20" borderId="18" applyAlignment="1" pivotButton="0" quotePrefix="0" xfId="0">
      <alignment horizontal="left" vertical="center" wrapText="1"/>
    </xf>
    <xf numFmtId="0" fontId="19" fillId="20" borderId="18" applyAlignment="1" pivotButton="0" quotePrefix="0" xfId="0">
      <alignment horizontal="general" vertical="center" wrapText="1"/>
    </xf>
    <xf numFmtId="0" fontId="19" fillId="20" borderId="18" applyAlignment="1" pivotButton="0" quotePrefix="0" xfId="0">
      <alignment horizontal="general" vertical="center"/>
    </xf>
    <xf numFmtId="0" fontId="19" fillId="20" borderId="3" applyAlignment="1" pivotButton="0" quotePrefix="0" xfId="0">
      <alignment horizontal="center" vertical="center" wrapText="1"/>
    </xf>
    <xf numFmtId="0" fontId="19" fillId="20" borderId="3" applyAlignment="1" pivotButton="0" quotePrefix="0" xfId="0">
      <alignment horizontal="left" vertical="center" wrapText="1"/>
    </xf>
    <xf numFmtId="0" fontId="19" fillId="20" borderId="18" applyAlignment="1" pivotButton="0" quotePrefix="0" xfId="0">
      <alignment horizontal="left" vertical="center"/>
    </xf>
    <xf numFmtId="0" fontId="18" fillId="39" borderId="0" applyAlignment="1" pivotButton="0" quotePrefix="0" xfId="0">
      <alignment horizontal="center" vertical="center" wrapText="1"/>
    </xf>
    <xf numFmtId="0" fontId="19" fillId="40" borderId="3" applyAlignment="1" pivotButton="0" quotePrefix="0" xfId="0">
      <alignment horizontal="center" vertical="center" wrapText="1"/>
    </xf>
    <xf numFmtId="0" fontId="19" fillId="41" borderId="3" applyAlignment="1" pivotButton="0" quotePrefix="0" xfId="0">
      <alignment horizontal="center" vertical="center" wrapText="1"/>
    </xf>
    <xf numFmtId="0" fontId="19" fillId="41" borderId="3" applyAlignment="1" pivotButton="0" quotePrefix="0" xfId="0">
      <alignment horizontal="left" vertical="center" wrapText="1"/>
    </xf>
    <xf numFmtId="0" fontId="19" fillId="41" borderId="18" applyAlignment="1" pivotButton="0" quotePrefix="0" xfId="0">
      <alignment horizontal="general" vertical="center" wrapText="1"/>
    </xf>
    <xf numFmtId="0" fontId="19" fillId="41" borderId="18" applyAlignment="1" pivotButton="0" quotePrefix="0" xfId="0">
      <alignment horizontal="general" vertical="center"/>
    </xf>
    <xf numFmtId="0" fontId="19" fillId="41" borderId="18" applyAlignment="1" pivotButton="0" quotePrefix="0" xfId="0">
      <alignment horizontal="center" vertical="center" wrapText="1"/>
    </xf>
    <xf numFmtId="0" fontId="19" fillId="41" borderId="18" applyAlignment="1" pivotButton="0" quotePrefix="0" xfId="0">
      <alignment horizontal="left" vertical="center"/>
    </xf>
    <xf numFmtId="0" fontId="19" fillId="40" borderId="18" applyAlignment="1" pivotButton="0" quotePrefix="0" xfId="0">
      <alignment horizontal="center" vertical="center" wrapText="1"/>
    </xf>
    <xf numFmtId="0" fontId="19" fillId="41" borderId="18" applyAlignment="1" pivotButton="0" quotePrefix="0" xfId="0">
      <alignment horizontal="left" vertical="center" wrapText="1"/>
    </xf>
    <xf numFmtId="0" fontId="17" fillId="0" borderId="0" applyAlignment="1" pivotButton="0" quotePrefix="0" xfId="0">
      <alignment horizontal="general" vertical="bottom" wrapText="1"/>
    </xf>
    <xf numFmtId="0" fontId="17" fillId="0" borderId="0" applyAlignment="1" pivotButton="0" quotePrefix="0" xfId="0">
      <alignment horizontal="center" vertical="bottom"/>
    </xf>
    <xf numFmtId="0" fontId="22" fillId="42" borderId="0" applyAlignment="1" pivotButton="0" quotePrefix="0" xfId="0">
      <alignment horizontal="left" vertical="center"/>
    </xf>
    <xf numFmtId="0" fontId="22" fillId="42" borderId="0" applyAlignment="1" pivotButton="0" quotePrefix="0" xfId="0">
      <alignment horizontal="general" vertical="center" wrapText="1"/>
    </xf>
    <xf numFmtId="0" fontId="0" fillId="7" borderId="0" applyAlignment="1" pivotButton="0" quotePrefix="0" xfId="0">
      <alignment horizontal="left" vertical="bottom"/>
    </xf>
    <xf numFmtId="0" fontId="23" fillId="7" borderId="0" applyAlignment="1" pivotButton="0" quotePrefix="0" xfId="0">
      <alignment horizontal="left" vertical="top"/>
    </xf>
    <xf numFmtId="0" fontId="24" fillId="7" borderId="0" applyAlignment="1" pivotButton="0" quotePrefix="0" xfId="0">
      <alignment horizontal="general" vertical="bottom" wrapText="1"/>
    </xf>
    <xf numFmtId="0" fontId="25" fillId="7" borderId="0" applyAlignment="1" pivotButton="0" quotePrefix="0" xfId="0">
      <alignment horizontal="left" vertical="top"/>
    </xf>
    <xf numFmtId="49" fontId="23" fillId="7" borderId="0" applyAlignment="1" pivotButton="0" quotePrefix="0" xfId="0">
      <alignment horizontal="left" vertical="top"/>
    </xf>
    <xf numFmtId="0" fontId="25" fillId="0" borderId="0" applyAlignment="1" pivotButton="0" quotePrefix="0" xfId="0">
      <alignment horizontal="general" vertical="bottom"/>
    </xf>
    <xf numFmtId="0" fontId="24" fillId="7" borderId="0" applyAlignment="1" pivotButton="0" quotePrefix="0" xfId="0">
      <alignment horizontal="general" vertical="bottom"/>
    </xf>
    <xf numFmtId="0" fontId="23" fillId="17" borderId="0" applyAlignment="1" pivotButton="0" quotePrefix="0" xfId="0">
      <alignment horizontal="left" vertical="top"/>
    </xf>
    <xf numFmtId="0" fontId="24" fillId="17" borderId="0" applyAlignment="1" pivotButton="0" quotePrefix="0" xfId="0">
      <alignment horizontal="left" vertical="bottom"/>
    </xf>
    <xf numFmtId="0" fontId="25" fillId="17" borderId="0" applyAlignment="1" pivotButton="0" quotePrefix="0" xfId="0">
      <alignment horizontal="left" vertical="top"/>
    </xf>
    <xf numFmtId="49" fontId="23" fillId="17" borderId="0" applyAlignment="1" pivotButton="0" quotePrefix="0" xfId="0">
      <alignment horizontal="left" vertical="top"/>
    </xf>
    <xf numFmtId="0" fontId="24" fillId="7" borderId="0" applyAlignment="1" pivotButton="0" quotePrefix="0" xfId="0">
      <alignment horizontal="left" vertical="bottom"/>
    </xf>
    <xf numFmtId="0" fontId="0" fillId="11" borderId="0" applyAlignment="1" pivotButton="0" quotePrefix="0" xfId="0">
      <alignment horizontal="left" vertical="bottom"/>
    </xf>
    <xf numFmtId="0" fontId="23" fillId="43" borderId="0" applyAlignment="1" pivotButton="0" quotePrefix="0" xfId="0">
      <alignment horizontal="left" vertical="top"/>
    </xf>
    <xf numFmtId="0" fontId="23" fillId="7" borderId="0" applyAlignment="1" pivotButton="0" quotePrefix="0" xfId="0">
      <alignment horizontal="general" vertical="top" wrapText="1"/>
    </xf>
    <xf numFmtId="0" fontId="0" fillId="14" borderId="0" applyAlignment="1" pivotButton="0" quotePrefix="0" xfId="0">
      <alignment horizontal="left" vertical="bottom"/>
    </xf>
    <xf numFmtId="0" fontId="0" fillId="17" borderId="0" applyAlignment="1" pivotButton="0" quotePrefix="0" xfId="0">
      <alignment horizontal="left" vertical="bottom"/>
    </xf>
    <xf numFmtId="0" fontId="23" fillId="11" borderId="0" applyAlignment="1" pivotButton="0" quotePrefix="0" xfId="0">
      <alignment horizontal="left" vertical="top"/>
    </xf>
    <xf numFmtId="0" fontId="25" fillId="11" borderId="0" applyAlignment="1" pivotButton="0" quotePrefix="0" xfId="0">
      <alignment horizontal="left" vertical="top"/>
    </xf>
    <xf numFmtId="49" fontId="23" fillId="11" borderId="0" applyAlignment="1" pivotButton="0" quotePrefix="0" xfId="0">
      <alignment horizontal="left" vertical="top"/>
    </xf>
    <xf numFmtId="0" fontId="24" fillId="11" borderId="0" applyAlignment="1" pivotButton="0" quotePrefix="0" xfId="0">
      <alignment horizontal="left" vertical="bottom"/>
    </xf>
    <xf numFmtId="0" fontId="23" fillId="14" borderId="0" applyAlignment="1" pivotButton="0" quotePrefix="0" xfId="0">
      <alignment horizontal="left" vertical="top"/>
    </xf>
    <xf numFmtId="0" fontId="24" fillId="14" borderId="0" applyAlignment="1" pivotButton="0" quotePrefix="0" xfId="0">
      <alignment horizontal="left" vertical="bottom"/>
    </xf>
    <xf numFmtId="0" fontId="25" fillId="14" borderId="0" applyAlignment="1" pivotButton="0" quotePrefix="0" xfId="0">
      <alignment horizontal="left" vertical="top"/>
    </xf>
    <xf numFmtId="49" fontId="23" fillId="14" borderId="0" applyAlignment="1" pivotButton="0" quotePrefix="0" xfId="0">
      <alignment horizontal="left" vertical="top"/>
    </xf>
    <xf numFmtId="0" fontId="0" fillId="20" borderId="0" applyAlignment="1" pivotButton="0" quotePrefix="0" xfId="0">
      <alignment horizontal="left" vertical="bottom"/>
    </xf>
    <xf numFmtId="0" fontId="0" fillId="23" borderId="0" applyAlignment="1" pivotButton="0" quotePrefix="0" xfId="0">
      <alignment horizontal="left" vertical="bottom"/>
    </xf>
    <xf numFmtId="0" fontId="0" fillId="44" borderId="0" applyAlignment="1" pivotButton="0" quotePrefix="0" xfId="0">
      <alignment horizontal="left" vertical="bottom"/>
    </xf>
    <xf numFmtId="0" fontId="23" fillId="44" borderId="0" applyAlignment="1" pivotButton="0" quotePrefix="0" xfId="0">
      <alignment horizontal="left" vertical="top"/>
    </xf>
    <xf numFmtId="0" fontId="24" fillId="44" borderId="0" applyAlignment="1" pivotButton="0" quotePrefix="0" xfId="0">
      <alignment horizontal="general" vertical="bottom"/>
    </xf>
    <xf numFmtId="49" fontId="23" fillId="44" borderId="0" applyAlignment="1" pivotButton="0" quotePrefix="0" xfId="0">
      <alignment horizontal="left" vertical="top"/>
    </xf>
    <xf numFmtId="0" fontId="25" fillId="44" borderId="0" applyAlignment="1" pivotButton="0" quotePrefix="0" xfId="0">
      <alignment horizontal="left" vertical="top"/>
    </xf>
    <xf numFmtId="0" fontId="0" fillId="45" borderId="0" applyAlignment="1" pivotButton="0" quotePrefix="0" xfId="0">
      <alignment horizontal="left" vertical="bottom"/>
    </xf>
    <xf numFmtId="0" fontId="23" fillId="20" borderId="0" applyAlignment="1" pivotButton="0" quotePrefix="0" xfId="0">
      <alignment horizontal="left" vertical="top"/>
    </xf>
    <xf numFmtId="0" fontId="25" fillId="20" borderId="0" applyAlignment="1" pivotButton="0" quotePrefix="0" xfId="0">
      <alignment horizontal="left" vertical="top"/>
    </xf>
    <xf numFmtId="49" fontId="23" fillId="20" borderId="0" applyAlignment="1" pivotButton="0" quotePrefix="0" xfId="0">
      <alignment horizontal="left" vertical="top"/>
    </xf>
    <xf numFmtId="0" fontId="23" fillId="45" borderId="0" applyAlignment="1" pivotButton="0" quotePrefix="0" xfId="0">
      <alignment horizontal="left" vertical="top"/>
    </xf>
    <xf numFmtId="0" fontId="24" fillId="45" borderId="0" applyAlignment="1" pivotButton="0" quotePrefix="0" xfId="0">
      <alignment horizontal="left" vertical="bottom"/>
    </xf>
    <xf numFmtId="0" fontId="25" fillId="45" borderId="0" applyAlignment="1" pivotButton="0" quotePrefix="0" xfId="0">
      <alignment horizontal="left" vertical="top"/>
    </xf>
    <xf numFmtId="49" fontId="23" fillId="45" borderId="0" applyAlignment="1" pivotButton="0" quotePrefix="0" xfId="0">
      <alignment horizontal="left" vertical="top"/>
    </xf>
    <xf numFmtId="0" fontId="23" fillId="23" borderId="0" applyAlignment="1" pivotButton="0" quotePrefix="0" xfId="0">
      <alignment horizontal="left" vertical="top"/>
    </xf>
    <xf numFmtId="0" fontId="25" fillId="23" borderId="0" applyAlignment="1" pivotButton="0" quotePrefix="0" xfId="0">
      <alignment horizontal="left" vertical="top"/>
    </xf>
    <xf numFmtId="49" fontId="23" fillId="23" borderId="0" applyAlignment="1" pivotButton="0" quotePrefix="0" xfId="0">
      <alignment horizontal="left" vertical="top"/>
    </xf>
    <xf numFmtId="0" fontId="23" fillId="0" borderId="0" applyAlignment="1" pivotButton="0" quotePrefix="0" xfId="0">
      <alignment horizontal="left" vertical="top"/>
    </xf>
    <xf numFmtId="0" fontId="25" fillId="46" borderId="0" applyAlignment="1" pivotButton="0" quotePrefix="0" xfId="0">
      <alignment horizontal="left" vertical="top"/>
    </xf>
    <xf numFmtId="49" fontId="23" fillId="0" borderId="0" applyAlignment="1" pivotButton="0" quotePrefix="0" xfId="0">
      <alignment horizontal="left" vertical="top"/>
    </xf>
    <xf numFmtId="0" fontId="22" fillId="42" borderId="0" applyAlignment="1" pivotButton="0" quotePrefix="0" xfId="0">
      <alignment horizontal="general" vertical="bottom" wrapText="1"/>
    </xf>
    <xf numFmtId="0" fontId="23" fillId="17" borderId="0" applyAlignment="1" pivotButton="0" quotePrefix="0" xfId="0">
      <alignment horizontal="general" vertical="top" wrapText="1"/>
    </xf>
    <xf numFmtId="0" fontId="23" fillId="17" borderId="0" applyAlignment="1" pivotButton="0" quotePrefix="0" xfId="0">
      <alignment horizontal="center" vertical="top" wrapText="1"/>
    </xf>
    <xf numFmtId="0" fontId="23" fillId="7" borderId="0" applyAlignment="1" pivotButton="0" quotePrefix="0" xfId="0">
      <alignment horizontal="center" vertical="top" wrapText="1"/>
    </xf>
    <xf numFmtId="0" fontId="0" fillId="11" borderId="0" applyAlignment="1" pivotButton="0" quotePrefix="0" xfId="0">
      <alignment horizontal="general" vertical="bottom"/>
    </xf>
    <xf numFmtId="0" fontId="23" fillId="11" borderId="0" applyAlignment="1" pivotButton="0" quotePrefix="0" xfId="0">
      <alignment horizontal="general" vertical="top"/>
    </xf>
    <xf numFmtId="0" fontId="23" fillId="11" borderId="0" applyAlignment="1" pivotButton="0" quotePrefix="0" xfId="0">
      <alignment horizontal="general" vertical="bottom"/>
    </xf>
    <xf numFmtId="49" fontId="23" fillId="11" borderId="0" applyAlignment="1" pivotButton="0" quotePrefix="0" xfId="0">
      <alignment horizontal="center" vertical="top"/>
    </xf>
    <xf numFmtId="0" fontId="23" fillId="11" borderId="0" applyAlignment="1" pivotButton="0" quotePrefix="0" xfId="0">
      <alignment horizontal="center" vertical="top"/>
    </xf>
    <xf numFmtId="0" fontId="23" fillId="11" borderId="0" applyAlignment="1" pivotButton="0" quotePrefix="0" xfId="0">
      <alignment horizontal="general" vertical="top" wrapText="1"/>
    </xf>
    <xf numFmtId="0" fontId="0" fillId="11" borderId="0" applyAlignment="1" pivotButton="0" quotePrefix="0" xfId="0">
      <alignment horizontal="center" vertical="bottom"/>
    </xf>
    <xf numFmtId="0" fontId="23" fillId="11" borderId="0" applyAlignment="1" pivotButton="0" quotePrefix="0" xfId="0">
      <alignment horizontal="center" vertical="top" wrapText="1"/>
    </xf>
    <xf numFmtId="0" fontId="23" fillId="14" borderId="0" applyAlignment="1" pivotButton="0" quotePrefix="0" xfId="0">
      <alignment horizontal="general" vertical="bottom" wrapText="1"/>
    </xf>
    <xf numFmtId="0" fontId="23" fillId="14" borderId="0" applyAlignment="1" pivotButton="0" quotePrefix="0" xfId="0">
      <alignment horizontal="center" vertical="bottom" wrapText="1"/>
    </xf>
    <xf numFmtId="0" fontId="23" fillId="20" borderId="0" applyAlignment="1" pivotButton="0" quotePrefix="0" xfId="0">
      <alignment horizontal="general" vertical="bottom" wrapText="1"/>
    </xf>
    <xf numFmtId="0" fontId="23" fillId="20" borderId="0" applyAlignment="1" pivotButton="0" quotePrefix="0" xfId="0">
      <alignment horizontal="center" vertical="bottom" wrapText="1"/>
    </xf>
    <xf numFmtId="0" fontId="23" fillId="27" borderId="0" applyAlignment="1" pivotButton="0" quotePrefix="0" xfId="0">
      <alignment horizontal="center" vertical="bottom" wrapText="1"/>
    </xf>
    <xf numFmtId="49" fontId="23" fillId="23" borderId="0" applyAlignment="1" pivotButton="0" quotePrefix="0" xfId="0">
      <alignment horizontal="general" vertical="top"/>
    </xf>
    <xf numFmtId="49" fontId="23" fillId="23" borderId="0" applyAlignment="1" pivotButton="0" quotePrefix="0" xfId="0">
      <alignment horizontal="center" vertical="top"/>
    </xf>
    <xf numFmtId="49" fontId="23" fillId="0" borderId="0" applyAlignment="1" pivotButton="0" quotePrefix="0" xfId="0">
      <alignment horizontal="center" vertical="top"/>
    </xf>
    <xf numFmtId="0" fontId="23" fillId="0" borderId="0" applyAlignment="1" pivotButton="0" quotePrefix="0" xfId="0">
      <alignment horizontal="center" vertical="top"/>
    </xf>
    <xf numFmtId="0" fontId="23" fillId="0" borderId="0" applyAlignment="1" pivotButton="0" quotePrefix="0" xfId="0">
      <alignment horizontal="general" vertical="top" wrapText="1"/>
    </xf>
    <xf numFmtId="0" fontId="26" fillId="0" borderId="20" applyAlignment="1" pivotButton="0" quotePrefix="0" xfId="0">
      <alignment horizontal="general" vertical="bottom"/>
    </xf>
    <xf numFmtId="0" fontId="23" fillId="0" borderId="0" applyAlignment="1" pivotButton="0" quotePrefix="0" xfId="0">
      <alignment horizontal="general" vertical="bottom"/>
    </xf>
    <xf numFmtId="0" fontId="2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1F497D"/>
          <bgColor rgb="FF000000"/>
        </patternFill>
      </fill>
    </dxf>
    <dxf>
      <fill>
        <patternFill patternType="solid">
          <bgColor rgb="FF000000"/>
        </patternFill>
      </fill>
    </dxf>
    <dxf>
      <fill>
        <patternFill patternType="solid">
          <fgColor rgb="FFFFFFFF"/>
          <bgColor rgb="FF000000"/>
        </patternFill>
      </fill>
    </dxf>
    <dxf>
      <fill>
        <patternFill patternType="solid">
          <fgColor rgb="FF14181F"/>
          <bgColor rgb="FF000000"/>
        </patternFill>
      </fill>
    </dxf>
    <dxf>
      <fill>
        <patternFill patternType="solid">
          <fgColor rgb="FF92D050"/>
          <bgColor rgb="FF000000"/>
        </patternFill>
      </fill>
    </dxf>
    <dxf>
      <fill>
        <patternFill patternType="solid">
          <fgColor rgb="FF000000"/>
          <bgColor rgb="FF000000"/>
        </patternFill>
      </fill>
    </dxf>
    <dxf>
      <fill>
        <patternFill patternType="solid">
          <fgColor rgb="FF006A53"/>
          <bgColor rgb="FF000000"/>
        </patternFill>
      </fill>
    </dxf>
    <dxf>
      <fill>
        <patternFill patternType="solid">
          <fgColor rgb="FFDBEEF4"/>
          <bgColor rgb="FF000000"/>
        </patternFill>
      </fill>
    </dxf>
    <dxf>
      <fill>
        <patternFill patternType="solid">
          <fgColor rgb="FFDCE6F2"/>
          <bgColor rgb="FF000000"/>
        </patternFill>
      </fill>
    </dxf>
    <dxf>
      <fill>
        <patternFill patternType="solid">
          <fgColor rgb="FFE6E0EC"/>
          <bgColor rgb="FF000000"/>
        </patternFill>
      </fill>
    </dxf>
    <dxf>
      <fill>
        <patternFill patternType="solid">
          <fgColor rgb="FFEBF1DE"/>
          <bgColor rgb="FF000000"/>
        </patternFill>
      </fill>
    </dxf>
    <dxf>
      <fill>
        <patternFill patternType="solid">
          <fgColor rgb="FFF2DCDB"/>
          <bgColor rgb="FF000000"/>
        </patternFill>
      </fill>
    </dxf>
    <dxf>
      <fill>
        <patternFill patternType="solid">
          <fgColor rgb="FFFDEADA"/>
          <bgColor rgb="FF000000"/>
        </patternFill>
      </fill>
    </dxf>
    <dxf>
      <fill>
        <patternFill patternType="solid">
          <fgColor rgb="FFFDE9D9"/>
          <bgColor rgb="FF000000"/>
        </patternFill>
      </fill>
    </dxf>
    <dxf>
      <fill>
        <patternFill patternType="solid">
          <fgColor rgb="FFFFFF00"/>
          <bgColor rgb="FF000000"/>
        </patternFill>
      </fill>
    </dxf>
  </dxfs>
  <colors>
    <indexedColors>
      <rgbColor rgb="FF000000"/>
      <rgbColor rgb="FFFFFFFF"/>
      <rgbColor rgb="FFDA4949"/>
      <rgbColor rgb="FFA5B8C9"/>
      <rgbColor rgb="FFDCE6F2"/>
      <rgbColor rgb="FFFFFF00"/>
      <rgbColor rgb="FFCAABB1"/>
      <rgbColor rgb="FF99C3BA"/>
      <rgbColor rgb="FFF2DCDB"/>
      <rgbColor rgb="FF9BBB59"/>
      <rgbColor rgb="FFFDE9D9"/>
      <rgbColor rgb="FF6E7573"/>
      <rgbColor rgb="FFD0B7A0"/>
      <rgbColor rgb="FF006A53"/>
      <rgbColor rgb="FFB7BBC1"/>
      <rgbColor rgb="FF808080"/>
      <rgbColor rgb="FF8FACDE"/>
      <rgbColor rgb="FFB14C93"/>
      <rgbColor rgb="FFEBF1DE"/>
      <rgbColor rgb="FFDBEEF4"/>
      <rgbColor rgb="FFDDD9C3"/>
      <rgbColor rgb="FFDB8A8A"/>
      <rgbColor rgb="FF4F81BD"/>
      <rgbColor rgb="FFCCD0FD"/>
      <rgbColor rgb="FFF2F2F2"/>
      <rgbColor rgb="FFBDB7D0"/>
      <rgbColor rgb="FFC3D69B"/>
      <rgbColor rgb="FF95B3D7"/>
      <rgbColor rgb="FFDBC3B8"/>
      <rgbColor rgb="FFFAD6F6"/>
      <rgbColor rgb="FF00B050"/>
      <rgbColor rgb="FFFFE6D2"/>
      <rgbColor rgb="FF79D2C6"/>
      <rgbColor rgb="FFEAF2EF"/>
      <rgbColor rgb="FFC1F5E1"/>
      <rgbColor rgb="FFFDEADA"/>
      <rgbColor rgb="FF93CDDD"/>
      <rgbColor rgb="FFD99694"/>
      <rgbColor rgb="FFDB89C9"/>
      <rgbColor rgb="FFFAC090"/>
      <rgbColor rgb="FF476FB5"/>
      <rgbColor rgb="FF4BACC6"/>
      <rgbColor rgb="FF92D050"/>
      <rgbColor rgb="FFFCAD70"/>
      <rgbColor rgb="FFF79646"/>
      <rgbColor rgb="FFD86528"/>
      <rgbColor rgb="FF8064A2"/>
      <rgbColor rgb="FFB8A49B"/>
      <rgbColor rgb="FFC6D9F1"/>
      <rgbColor rgb="FF42AC9E"/>
      <rgbColor rgb="FFE6E0EC"/>
      <rgbColor rgb="FFB3A2C7"/>
      <rgbColor rgb="FF8A2E26"/>
      <rgbColor rgb="FFC0504D"/>
      <rgbColor rgb="FF1F497D"/>
      <rgbColor rgb="FF1A1C1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G30" authorId="0" shapeId="0">
      <text>
        <t>Lord, Mary Cathryn:
Need approval for:
- Key Services on external dashoard for obj level
- No program names listed on external dashboard at all</t>
      </text>
    </comment>
  </commentList>
</comments>
</file>

<file path=xl/comments/comment2.xml><?xml version="1.0" encoding="utf-8"?>
<comments xmlns="http://schemas.openxmlformats.org/spreadsheetml/2006/main">
  <authors>
    <author>Unknown Author</author>
  </authors>
  <commentList>
    <comment ref="E1" authorId="0" shapeId="0">
      <text>
        <t>Lord, Mary Cathryn:</t>
      </text>
    </comment>
  </commentList>
</comments>
</file>

<file path=xl/comments/comment3.xml><?xml version="1.0" encoding="utf-8"?>
<comments xmlns="http://schemas.openxmlformats.org/spreadsheetml/2006/main">
  <authors>
    <author>Unknown Author</author>
  </authors>
  <commentList>
    <comment ref="O1" authorId="0" shapeId="0">
      <text>
        <t>KPIs shown at a Key Service (Level = Key Service, or Also Show Under has a ks… ID): No = shown but not counted in the gauges; blank or Yes = counted.
Program KPIs: Yes = sets the Program's status chip.</t>
      </text>
    </comment>
    <comment ref="U1" authorId="0" shapeId="0">
      <text>
        <t>Shows what this KPI does on the dashboard, from Level and Drives Status. Don't type here.</t>
      </text>
    </comment>
  </commentList>
</comments>
</file>

<file path=xl/comments/comment4.xml><?xml version="1.0" encoding="utf-8"?>
<comments xmlns="http://schemas.openxmlformats.org/spreadsheetml/2006/main">
  <authors>
    <author>Unknown Author</author>
  </authors>
  <commentList>
    <comment ref="F134" authorId="0" shapeId="0">
      <text>
        <t>Lord, Mary Cathryn:
Increase year over year formula</t>
      </text>
    </comment>
    <comment ref="F135" authorId="0" shapeId="0">
      <text>
        <t>Lord, Mary Cathryn:
Increase year over year formula</t>
      </text>
    </comment>
    <comment ref="F136" authorId="0" shapeId="0">
      <text>
        <t>Lord, Mary Cathryn:
Increase year over year formula</t>
      </text>
    </comment>
    <comment ref="F141" authorId="0" shapeId="0">
      <text>
        <t>Lord, Mary Cathryn:
Remain flat formula</t>
      </text>
    </comment>
    <comment ref="F143" authorId="0" shapeId="0">
      <text>
        <t>Lord, Mary Cathryn:
2% year over year increase formula</t>
      </text>
    </comment>
  </commentList>
</comments>
</file>

<file path=xl/comments/comment5.xml><?xml version="1.0" encoding="utf-8"?>
<comments xmlns="http://schemas.openxmlformats.org/spreadsheetml/2006/main">
  <authors>
    <author>Unknown Author</author>
  </authors>
  <commentList>
    <comment ref="G1" authorId="0" shapeId="0">
      <text>
        <t>Goal and Objective definitions are council-adopted wording from the City of Durango 2024 Strategic Plan (pages 5-10), copied verbatim. Do not edit them.
Optional for Work Systems and Key Services.</t>
      </text>
    </comment>
  </commentList>
</comments>
</file>

<file path=xl/comments/comment6.xml><?xml version="1.0" encoding="utf-8"?>
<comments xmlns="http://schemas.openxmlformats.org/spreadsheetml/2006/main">
  <authors>
    <author>Unknown Author</author>
  </authors>
  <commentList>
    <comment ref="A1" authorId="0" shapeId="0">
      <text>
        <t>Type a Key Service ID (ks…). One row per Key Service + Objective pair; a Key Service that supports three Objectives gets three rows.</t>
      </text>
    </comment>
    <comment ref="D1" authorId="0" shapeId="0">
      <text>
        <t>Type an Objective ID (ob…).</t>
      </text>
    </comment>
  </commentList>
</comments>
</file>

<file path=xl/tables/table1.xml><?xml version="1.0" encoding="utf-8"?>
<table xmlns="http://schemas.openxmlformats.org/spreadsheetml/2006/main" id="1" name="Table1" displayName="Table1" ref="A1:I17" headerRowCount="1" totalsRowCount="0" totalsRowShown="0">
  <autoFilter ref="A1:I17"/>
  <tableColumns count="9">
    <tableColumn id="1" name="Dept"/>
    <tableColumn id="2" name="KPI count"/>
    <tableColumn id="3" name="KPI's Selected?"/>
    <tableColumn id="4" name="All cataloged?"/>
    <tableColumn id="5" name="Data been asked for?"/>
    <tableColumn id="6" name="All data entered?"/>
    <tableColumn id="7" name="Benchmark/ target entered?"/>
    <tableColumn id="8" name="Narrative added?"/>
    <tableColumn id="9" name="Visual confirmation from dep?"/>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37" activeCellId="0" sqref="D37"/>
    </sheetView>
  </sheetViews>
  <sheetFormatPr baseColWidth="8" defaultColWidth="8.66796875" defaultRowHeight="15" zeroHeight="0" outlineLevelRow="0"/>
  <cols>
    <col width="9.33" customWidth="1" style="208" min="1" max="1"/>
    <col width="10.83" customWidth="1" style="208" min="2" max="2"/>
    <col width="17.16" customWidth="1" style="208" min="3" max="3"/>
    <col width="16" customWidth="1" style="209" min="4" max="4"/>
    <col width="19.16" customWidth="1" style="209" min="5" max="5"/>
    <col width="16.83" customWidth="1" style="209" min="6" max="6"/>
    <col width="25.51" customWidth="1" style="209" min="7" max="7"/>
    <col width="16.67" customWidth="1" style="209" min="8" max="8"/>
    <col width="26.67" customWidth="1" style="209" min="9" max="9"/>
  </cols>
  <sheetData>
    <row r="1" ht="15" customHeight="1" s="210">
      <c r="A1" s="211" t="inlineStr">
        <is>
          <t>Dept</t>
        </is>
      </c>
      <c r="B1" s="211" t="inlineStr">
        <is>
          <t>KPI count</t>
        </is>
      </c>
      <c r="C1" s="211" t="inlineStr">
        <is>
          <t>KPI's Selected?</t>
        </is>
      </c>
      <c r="D1" s="212" t="inlineStr">
        <is>
          <t>All cataloged?</t>
        </is>
      </c>
      <c r="E1" s="212" t="inlineStr">
        <is>
          <t>Data been asked for?</t>
        </is>
      </c>
      <c r="F1" s="212" t="inlineStr">
        <is>
          <t>All data entered?</t>
        </is>
      </c>
      <c r="G1" s="212" t="inlineStr">
        <is>
          <t>Benchmark/ target entered?</t>
        </is>
      </c>
      <c r="H1" s="212" t="inlineStr">
        <is>
          <t>Narrative added?</t>
        </is>
      </c>
      <c r="I1" s="212" t="inlineStr">
        <is>
          <t>Visual confirmation from dep?</t>
        </is>
      </c>
    </row>
    <row r="2" ht="15" customHeight="1" s="210">
      <c r="A2" s="213" t="inlineStr">
        <is>
          <t>PD</t>
        </is>
      </c>
      <c r="B2" s="214">
        <f>COUNTIF('KPI Catalog'!A:A, A2)</f>
        <v/>
      </c>
      <c r="C2" s="214" t="n"/>
      <c r="D2" s="215" t="n"/>
    </row>
    <row r="3" ht="15" customHeight="1" s="210">
      <c r="A3" s="213" t="inlineStr">
        <is>
          <t>HR</t>
        </is>
      </c>
      <c r="B3" s="214">
        <f>COUNTIF('KPI Catalog'!A:A, A3)</f>
        <v/>
      </c>
      <c r="C3" s="214" t="n"/>
      <c r="D3" s="215" t="n"/>
    </row>
    <row r="4" ht="15" customHeight="1" s="210">
      <c r="A4" s="213" t="inlineStr">
        <is>
          <t>TRAN</t>
        </is>
      </c>
      <c r="B4" s="214">
        <f>COUNTIF('KPI Catalog'!A:A, A4)</f>
        <v/>
      </c>
      <c r="C4" s="215" t="n"/>
      <c r="D4" s="215" t="n"/>
      <c r="E4" s="216" t="n">
        <v>46310</v>
      </c>
    </row>
    <row r="5" ht="15" customHeight="1" s="210">
      <c r="A5" s="213" t="inlineStr">
        <is>
          <t>CLERK</t>
        </is>
      </c>
      <c r="B5" s="214">
        <f>COUNTIF('KPI Catalog'!A:A, A5)</f>
        <v/>
      </c>
      <c r="C5" s="214" t="n"/>
    </row>
    <row r="6" ht="15" customHeight="1" s="210">
      <c r="A6" s="213" t="inlineStr">
        <is>
          <t>LIB</t>
        </is>
      </c>
      <c r="B6" s="214">
        <f>COUNTIF('KPI Catalog'!A:A, A6)</f>
        <v/>
      </c>
      <c r="C6" s="214" t="n"/>
    </row>
    <row r="7" ht="15" customHeight="1" s="210">
      <c r="A7" s="213" t="n">
        <v>911</v>
      </c>
      <c r="B7" s="214">
        <f>COUNTIF('KPI Catalog'!A:A, A7)</f>
        <v/>
      </c>
      <c r="C7" s="215" t="n"/>
      <c r="D7" s="215" t="n"/>
    </row>
    <row r="8" ht="15" customHeight="1" s="210">
      <c r="A8" s="213" t="inlineStr">
        <is>
          <t>PIO</t>
        </is>
      </c>
      <c r="B8" s="214">
        <f>COUNTIF('KPI Catalog'!A:A, A8)</f>
        <v/>
      </c>
      <c r="C8" s="215" t="inlineStr">
        <is>
          <t>Need KS metrics id's</t>
        </is>
      </c>
      <c r="D8" s="215" t="inlineStr">
        <is>
          <t>Need KS metrics id's</t>
        </is>
      </c>
      <c r="E8" s="216" t="n">
        <v>46308</v>
      </c>
      <c r="G8" s="215" t="n"/>
    </row>
    <row r="9" ht="15" customHeight="1" s="210">
      <c r="A9" s="213" t="inlineStr">
        <is>
          <t>IT</t>
        </is>
      </c>
      <c r="B9" s="214">
        <f>COUNTIF('KPI Catalog'!A:A, A9)</f>
        <v/>
      </c>
      <c r="C9" s="215" t="n"/>
    </row>
    <row r="10" ht="15" customHeight="1" s="210">
      <c r="A10" s="213" t="inlineStr">
        <is>
          <t>AIR</t>
        </is>
      </c>
      <c r="B10" s="214">
        <f>COUNTIF('KPI Catalog'!A:A, A10)</f>
        <v/>
      </c>
      <c r="C10" s="214" t="n"/>
    </row>
    <row r="11" ht="15" customHeight="1" s="210">
      <c r="A11" s="213" t="inlineStr">
        <is>
          <t>CAO</t>
        </is>
      </c>
      <c r="B11" s="214">
        <f>COUNTIF('KPI Catalog'!A:A, A11)</f>
        <v/>
      </c>
      <c r="C11" s="214" t="n"/>
    </row>
    <row r="12" ht="15" customHeight="1" s="210">
      <c r="A12" s="213" t="inlineStr">
        <is>
          <t>CMO</t>
        </is>
      </c>
      <c r="B12" s="214">
        <f>COUNTIF('KPI Catalog'!A:A, A12)</f>
        <v/>
      </c>
      <c r="C12" s="214" t="n"/>
    </row>
    <row r="13" ht="15" customHeight="1" s="210">
      <c r="A13" s="213" t="inlineStr">
        <is>
          <t>OE</t>
        </is>
      </c>
      <c r="B13" s="214">
        <f>COUNTIF('KPI Catalog'!A:A, A13)</f>
        <v/>
      </c>
      <c r="C13" s="214" t="n"/>
    </row>
    <row r="14" ht="15" customHeight="1" s="210">
      <c r="A14" s="213" t="inlineStr">
        <is>
          <t>COMDEV</t>
        </is>
      </c>
      <c r="B14" s="214">
        <f>COUNTIF('KPI Catalog'!A:A, A14)</f>
        <v/>
      </c>
      <c r="C14" s="214" t="n"/>
    </row>
    <row r="15" ht="15" customHeight="1" s="210">
      <c r="A15" s="213" t="inlineStr">
        <is>
          <t>FIN</t>
        </is>
      </c>
      <c r="B15" s="214">
        <f>COUNTIF('KPI Catalog'!A:A, A15)</f>
        <v/>
      </c>
      <c r="C15" s="214" t="n"/>
    </row>
    <row r="16" ht="15" customHeight="1" s="210">
      <c r="A16" s="213" t="inlineStr">
        <is>
          <t>PROSP</t>
        </is>
      </c>
      <c r="B16" s="214">
        <f>COUNTIF('KPI Catalog'!A:A, A16)</f>
        <v/>
      </c>
      <c r="C16" s="215" t="n"/>
      <c r="D16" s="215" t="n"/>
      <c r="E16" s="216" t="n">
        <v>46308</v>
      </c>
    </row>
    <row r="17" ht="15" customHeight="1" s="210">
      <c r="A17" s="213" t="inlineStr">
        <is>
          <t>PW</t>
        </is>
      </c>
      <c r="B17" s="214">
        <f>COUNTIF('KPI Catalog'!A:A, A17)</f>
        <v/>
      </c>
      <c r="C17" s="214" t="n"/>
    </row>
    <row r="18" ht="15" customHeight="1" s="210">
      <c r="A18" s="213" t="inlineStr">
        <is>
          <t>COURT</t>
        </is>
      </c>
      <c r="B18" s="214">
        <f>COUNTIF('KPI Catalog'!A:A, A18)</f>
        <v/>
      </c>
    </row>
    <row r="19" ht="15" customHeight="1" s="210">
      <c r="A19" s="213" t="inlineStr">
        <is>
          <t>PR</t>
        </is>
      </c>
      <c r="B19" s="214">
        <f>COUNTIF('KPI Catalog'!A:A, A19)</f>
        <v/>
      </c>
    </row>
    <row r="20" ht="15" customHeight="1" s="210">
      <c r="A20" s="213" t="inlineStr">
        <is>
          <t>REC</t>
        </is>
      </c>
      <c r="B20" s="214">
        <f>COUNTIF('KPI Catalog'!A:A, A20)</f>
        <v/>
      </c>
    </row>
    <row r="30">
      <c r="G3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K20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E25" activeCellId="0" sqref="E25"/>
    </sheetView>
  </sheetViews>
  <sheetFormatPr baseColWidth="8" defaultColWidth="8.66796875" defaultRowHeight="15" zeroHeight="0" outlineLevelRow="0"/>
  <cols>
    <col width="30" customWidth="1" style="217" min="1" max="1"/>
    <col width="40" customWidth="1" style="217" min="2" max="2"/>
    <col width="46" customWidth="1" style="209" min="3" max="3"/>
    <col hidden="1" width="13" customWidth="1" style="209" min="4" max="4"/>
    <col width="103.83" customWidth="1" style="218" min="5" max="5"/>
    <col width="8" customWidth="1" style="218" min="6" max="6"/>
    <col width="12.33" customWidth="1" style="218" min="7" max="7"/>
    <col width="6.33" customWidth="1" style="218" min="8" max="8"/>
    <col width="11.83" customWidth="1" style="209" min="9" max="9"/>
    <col width="12" customWidth="1" style="209" min="10" max="11"/>
  </cols>
  <sheetData>
    <row r="1" ht="30" customHeight="1" s="210">
      <c r="A1" s="219" t="inlineStr">
        <is>
          <t>Key Work System</t>
        </is>
      </c>
      <c r="B1" s="220" t="inlineStr">
        <is>
          <t>Key Service</t>
        </is>
      </c>
      <c r="C1" s="219" t="inlineStr">
        <is>
          <t>Program</t>
        </is>
      </c>
      <c r="D1" s="221" t="inlineStr">
        <is>
          <t>Dashboard ID</t>
        </is>
      </c>
      <c r="E1" s="222" t="inlineStr">
        <is>
          <t>Metrics</t>
        </is>
      </c>
      <c r="F1" s="223" t="inlineStr">
        <is>
          <t>Data?</t>
        </is>
      </c>
      <c r="G1" s="223" t="inlineStr">
        <is>
          <t>Target?</t>
        </is>
      </c>
      <c r="H1" s="223" t="inlineStr">
        <is>
          <t>Benchmark?</t>
        </is>
      </c>
      <c r="I1" s="223" t="inlineStr">
        <is>
          <t>Narrative?</t>
        </is>
      </c>
      <c r="J1" s="224" t="inlineStr">
        <is>
          <t>Dash Status</t>
        </is>
      </c>
      <c r="K1" s="224" t="inlineStr">
        <is>
          <t>Note</t>
        </is>
      </c>
    </row>
    <row r="2" ht="15" customHeight="1" s="210">
      <c r="A2" s="225" t="inlineStr">
        <is>
          <t>Leadership &amp; Governance
(ws1)</t>
        </is>
      </c>
      <c r="B2" s="226" t="inlineStr">
        <is>
          <t>Administrative Leadership &amp; Governance (ks1)</t>
        </is>
      </c>
      <c r="C2" s="227" t="inlineStr">
        <is>
          <t>Strategic Planning</t>
        </is>
      </c>
      <c r="D2" s="228" t="inlineStr">
        <is>
          <t>p2</t>
        </is>
      </c>
      <c r="E2" s="229" t="n"/>
      <c r="F2" s="227" t="n"/>
      <c r="G2" s="227" t="n"/>
      <c r="H2" s="227" t="n"/>
      <c r="I2" s="228" t="n"/>
      <c r="J2" s="230" t="n"/>
      <c r="K2" s="227" t="n"/>
    </row>
    <row r="3" ht="15" customHeight="1" s="210">
      <c r="C3" s="227" t="inlineStr">
        <is>
          <t>Organizational Performance Management</t>
        </is>
      </c>
      <c r="D3" s="228" t="inlineStr">
        <is>
          <t>p3</t>
        </is>
      </c>
      <c r="E3" s="229" t="n"/>
      <c r="F3" s="227" t="n"/>
      <c r="G3" s="227" t="n"/>
      <c r="H3" s="227" t="n"/>
      <c r="I3" s="228" t="n"/>
      <c r="J3" s="227" t="n"/>
      <c r="K3" s="227" t="n"/>
    </row>
    <row r="4" ht="15" customHeight="1" s="210">
      <c r="C4" s="227" t="inlineStr">
        <is>
          <t>Compliance Oversight</t>
        </is>
      </c>
      <c r="D4" s="228" t="inlineStr">
        <is>
          <t>p4</t>
        </is>
      </c>
      <c r="E4" s="229" t="n"/>
      <c r="F4" s="227" t="n"/>
      <c r="G4" s="227" t="n"/>
      <c r="H4" s="227" t="n"/>
      <c r="I4" s="228" t="n"/>
      <c r="J4" s="230" t="n"/>
      <c r="K4" s="230" t="n"/>
    </row>
    <row r="5" ht="15" customHeight="1" s="210">
      <c r="B5" s="231" t="n"/>
      <c r="C5" s="227" t="inlineStr">
        <is>
          <t>Customer Service</t>
        </is>
      </c>
      <c r="D5" s="228" t="inlineStr">
        <is>
          <t>p5</t>
        </is>
      </c>
      <c r="E5" s="229" t="n"/>
      <c r="F5" s="227" t="n"/>
      <c r="G5" s="227" t="n"/>
      <c r="H5" s="227" t="n"/>
      <c r="I5" s="228" t="n"/>
      <c r="J5" s="227" t="n"/>
      <c r="K5" s="227" t="n"/>
    </row>
    <row r="6" ht="15" customHeight="1" s="210">
      <c r="B6" s="232" t="inlineStr">
        <is>
          <t>City Clerk &amp; Records Management (ks2)
Records Request Response Rate
Agenda Posting time
Liquor and marijuana license turnaround
Business License Turnaround
Voter turnout (%)</t>
        </is>
      </c>
      <c r="C6" s="227" t="inlineStr">
        <is>
          <t>Records Management</t>
        </is>
      </c>
      <c r="D6" s="228" t="inlineStr">
        <is>
          <t>p7</t>
        </is>
      </c>
      <c r="E6" s="229" t="inlineStr">
        <is>
          <t>Records request response rate</t>
        </is>
      </c>
      <c r="F6" s="227" t="n"/>
      <c r="G6" s="227" t="n"/>
      <c r="H6" s="227" t="n"/>
      <c r="I6" s="228" t="n"/>
      <c r="J6" s="227" t="n"/>
      <c r="K6" s="227" t="n"/>
    </row>
    <row r="7" ht="15" customHeight="1" s="210">
      <c r="C7" s="233" t="inlineStr">
        <is>
          <t>Elections Administration</t>
        </is>
      </c>
      <c r="D7" s="228" t="inlineStr">
        <is>
          <t>p8</t>
        </is>
      </c>
      <c r="E7" s="229" t="inlineStr">
        <is>
          <t>Voter turnout (%)</t>
        </is>
      </c>
      <c r="F7" s="227" t="n"/>
      <c r="G7" s="227" t="n"/>
      <c r="H7" s="227" t="n"/>
      <c r="I7" s="228" t="n"/>
      <c r="J7" s="227" t="n"/>
      <c r="K7" s="227" t="n"/>
    </row>
    <row r="8" ht="15" customHeight="1" s="210">
      <c r="D8" s="228" t="n"/>
      <c r="E8" s="229" t="inlineStr">
        <is>
          <t>Response rate for public election related questions</t>
        </is>
      </c>
      <c r="F8" s="227" t="n"/>
      <c r="G8" s="227" t="n"/>
      <c r="H8" s="227" t="n"/>
      <c r="I8" s="228" t="n"/>
      <c r="J8" s="227" t="n"/>
      <c r="K8" s="227" t="n"/>
    </row>
    <row r="9" ht="15" customHeight="1" s="210">
      <c r="D9" s="228" t="n"/>
      <c r="E9" s="229" t="inlineStr">
        <is>
          <t>Logic and accuracy test</t>
        </is>
      </c>
      <c r="F9" s="227" t="n"/>
      <c r="G9" s="227" t="n"/>
      <c r="H9" s="227" t="n"/>
      <c r="I9" s="228" t="n"/>
      <c r="J9" s="227" t="n"/>
      <c r="K9" s="227" t="n"/>
    </row>
    <row r="10" ht="15" customHeight="1" s="210">
      <c r="C10" s="234" t="n"/>
      <c r="D10" s="228" t="n"/>
      <c r="E10" s="229" t="inlineStr">
        <is>
          <t>Click through rate on City's election landing page</t>
        </is>
      </c>
      <c r="F10" s="227" t="n"/>
      <c r="G10" s="227" t="n"/>
      <c r="H10" s="227" t="n"/>
      <c r="I10" s="228" t="n"/>
      <c r="J10" s="227" t="n"/>
      <c r="K10" s="227" t="n"/>
    </row>
    <row r="11" ht="15" customHeight="1" s="210">
      <c r="C11" s="227" t="inlineStr">
        <is>
          <t>Council/Board Support</t>
        </is>
      </c>
      <c r="D11" s="228" t="inlineStr">
        <is>
          <t>p6</t>
        </is>
      </c>
      <c r="E11" s="229" t="inlineStr">
        <is>
          <t>Agenda posting time</t>
        </is>
      </c>
      <c r="F11" s="227" t="n"/>
      <c r="G11" s="227" t="n"/>
      <c r="H11" s="227" t="n"/>
      <c r="I11" s="228" t="n"/>
      <c r="J11" s="227" t="n"/>
      <c r="K11" s="227" t="n"/>
    </row>
    <row r="12" ht="15" customHeight="1" s="210">
      <c r="C12" s="233" t="inlineStr">
        <is>
          <t>Licensing</t>
        </is>
      </c>
      <c r="D12" s="228" t="inlineStr">
        <is>
          <t>p29</t>
        </is>
      </c>
      <c r="E12" s="229" t="inlineStr">
        <is>
          <t>Liquor and marijuana license turnaround</t>
        </is>
      </c>
      <c r="F12" s="227" t="n"/>
      <c r="G12" s="227" t="n"/>
      <c r="H12" s="227" t="n"/>
      <c r="I12" s="228" t="n"/>
      <c r="J12" s="227" t="n"/>
      <c r="K12" s="227" t="n"/>
    </row>
    <row r="13" ht="15" customHeight="1" s="210">
      <c r="B13" s="231" t="n"/>
      <c r="C13" s="234" t="n"/>
      <c r="D13" s="228" t="n"/>
      <c r="E13" s="229" t="inlineStr">
        <is>
          <t>Business license turnaround time</t>
        </is>
      </c>
      <c r="F13" s="227" t="n"/>
      <c r="G13" s="227" t="n"/>
      <c r="H13" s="227" t="n"/>
      <c r="I13" s="228" t="n"/>
      <c r="J13" s="227" t="n"/>
      <c r="K13" s="227" t="n"/>
    </row>
    <row r="14" ht="15" customHeight="1" s="210">
      <c r="B14" s="232" t="inlineStr">
        <is>
          <t>Public Information &amp; Community Engagement (ks3)</t>
        </is>
      </c>
      <c r="C14" s="233" t="inlineStr">
        <is>
          <t>Public Outreach</t>
        </is>
      </c>
      <c r="D14" s="228" t="inlineStr">
        <is>
          <t>p11</t>
        </is>
      </c>
      <c r="E14" s="229" t="inlineStr">
        <is>
          <t>SeeClickFix requests</t>
        </is>
      </c>
      <c r="F14" s="227" t="n"/>
      <c r="G14" s="227" t="n"/>
      <c r="H14" s="227" t="n"/>
      <c r="I14" s="228" t="n"/>
      <c r="J14" s="227" t="n"/>
      <c r="K14" s="227" t="n"/>
    </row>
    <row r="15" ht="15" customHeight="1" s="210">
      <c r="C15" s="234" t="n"/>
      <c r="D15" s="228" t="n"/>
      <c r="E15" s="229" t="inlineStr">
        <is>
          <t>Website views + social media post link clicks + news letter open rate</t>
        </is>
      </c>
      <c r="F15" s="227" t="n"/>
      <c r="G15" s="227" t="n"/>
      <c r="H15" s="227" t="n"/>
      <c r="I15" s="228" t="n"/>
      <c r="J15" s="227" t="n"/>
      <c r="K15" s="227" t="n"/>
    </row>
    <row r="16" ht="15" customHeight="1" s="210">
      <c r="C16" s="233" t="inlineStr">
        <is>
          <t>Social Media</t>
        </is>
      </c>
      <c r="D16" s="228" t="inlineStr">
        <is>
          <t>p12</t>
        </is>
      </c>
      <c r="E16" s="229" t="inlineStr">
        <is>
          <t>Social media engagement rate (FB, IG, TT)</t>
        </is>
      </c>
      <c r="F16" s="227" t="n"/>
      <c r="G16" s="227" t="n"/>
      <c r="H16" s="227" t="n"/>
      <c r="I16" s="228" t="n"/>
      <c r="J16" s="235" t="inlineStr">
        <is>
          <t>Online</t>
        </is>
      </c>
      <c r="K16" s="227" t="n"/>
    </row>
    <row r="17" ht="15" customHeight="1" s="210">
      <c r="C17" s="234" t="n"/>
      <c r="D17" s="228" t="n"/>
      <c r="E17" s="229" t="inlineStr">
        <is>
          <t>Social media audience growth (FB, IG, TT)</t>
        </is>
      </c>
      <c r="F17" s="227" t="n"/>
      <c r="G17" s="227" t="n"/>
      <c r="H17" s="227" t="n"/>
      <c r="I17" s="228" t="n"/>
      <c r="J17" s="235" t="inlineStr">
        <is>
          <t>Online</t>
        </is>
      </c>
      <c r="K17" s="227" t="n"/>
    </row>
    <row r="18" ht="15.75" customHeight="1" s="210">
      <c r="A18" s="225" t="n"/>
      <c r="C18" s="236" t="n"/>
      <c r="D18" s="237" t="n"/>
      <c r="E18" s="229" t="inlineStr">
        <is>
          <t>Engage Durango: First time visitors vs returning</t>
        </is>
      </c>
      <c r="F18" s="236" t="n"/>
      <c r="G18" s="236" t="n"/>
      <c r="H18" s="236" t="n"/>
      <c r="I18" s="237" t="n"/>
      <c r="J18" s="236" t="n"/>
      <c r="K18" s="236" t="n"/>
    </row>
    <row r="19" ht="15.75" customHeight="1" s="210">
      <c r="A19" s="225" t="n"/>
      <c r="B19" s="231" t="n"/>
      <c r="D19" s="237" t="n"/>
      <c r="E19" s="229" t="inlineStr">
        <is>
          <t>Visitors + Contributors</t>
        </is>
      </c>
      <c r="F19" s="236" t="n"/>
      <c r="G19" s="236" t="n"/>
      <c r="H19" s="236" t="n"/>
      <c r="I19" s="237" t="n"/>
      <c r="J19" s="236" t="n"/>
      <c r="K19" s="236" t="n"/>
    </row>
    <row r="20" ht="15.75" customHeight="1" s="210">
      <c r="A20" s="225" t="n"/>
      <c r="B20" s="226" t="n"/>
      <c r="D20" s="237" t="n"/>
      <c r="E20" s="238" t="inlineStr">
        <is>
          <t>Engage Durango: Contributions</t>
        </is>
      </c>
      <c r="F20" s="236" t="n"/>
      <c r="G20" s="236" t="n"/>
      <c r="H20" s="236" t="n"/>
      <c r="I20" s="237" t="n"/>
      <c r="J20" s="236" t="n"/>
      <c r="K20" s="236" t="n"/>
    </row>
    <row r="21" ht="15" customHeight="1" s="210">
      <c r="A21" s="239" t="inlineStr">
        <is>
          <t>Financial &amp; Internal Services
(ws2)</t>
        </is>
      </c>
      <c r="B21" s="240" t="inlineStr">
        <is>
          <t>Financial Management &amp; Accountability (ks4)</t>
        </is>
      </c>
      <c r="C21" s="241" t="inlineStr">
        <is>
          <t>Budgeting &amp; Forecasting</t>
        </is>
      </c>
      <c r="D21" s="242" t="inlineStr">
        <is>
          <t>p15</t>
        </is>
      </c>
      <c r="E21" s="243" t="inlineStr">
        <is>
          <t>Expenditure Budget to Actuals by Goal and Fund (TBD on actuals report by Goal)</t>
        </is>
      </c>
      <c r="F21" s="241" t="n"/>
      <c r="G21" s="241" t="n"/>
      <c r="H21" s="241" t="n"/>
      <c r="I21" s="242" t="n"/>
      <c r="J21" s="241" t="n"/>
      <c r="K21" s="241" t="n"/>
    </row>
    <row r="22" ht="15" customHeight="1" s="210">
      <c r="C22" s="241" t="n"/>
      <c r="D22" s="242" t="n"/>
      <c r="E22" s="243" t="inlineStr">
        <is>
          <t>Revenue Budget to Actuals by Fund and Source (i.e. Sales Tax as a whole)</t>
        </is>
      </c>
      <c r="F22" s="241" t="n"/>
      <c r="G22" s="241" t="n"/>
      <c r="H22" s="241" t="n"/>
      <c r="I22" s="242" t="n"/>
      <c r="J22" s="241" t="n"/>
      <c r="K22" s="241" t="n"/>
    </row>
    <row r="23" ht="15" customHeight="1" s="210">
      <c r="C23" s="241" t="inlineStr">
        <is>
          <t>Grants Management</t>
        </is>
      </c>
      <c r="D23" s="242" t="inlineStr">
        <is>
          <t>p16</t>
        </is>
      </c>
      <c r="E23" s="243" t="inlineStr">
        <is>
          <t>Percent of revenue from Grants - Utilization/execution of grant revenue (%)</t>
        </is>
      </c>
      <c r="F23" s="241" t="n"/>
      <c r="G23" s="241" t="n"/>
      <c r="H23" s="241" t="n"/>
      <c r="I23" s="242" t="n"/>
      <c r="J23" s="241" t="n"/>
      <c r="K23" s="241" t="n"/>
    </row>
    <row r="24" ht="15" customHeight="1" s="210">
      <c r="C24" s="244" t="inlineStr">
        <is>
          <t>Procurement</t>
        </is>
      </c>
      <c r="D24" s="242" t="inlineStr">
        <is>
          <t>p17</t>
        </is>
      </c>
      <c r="E24" s="243" t="inlineStr">
        <is>
          <t>All POs: classified blanket POs, open, dollar amounts, etc. Tracking of purchase orders (open POs, POs that are negative, etc.);</t>
        </is>
      </c>
      <c r="F24" s="241" t="n"/>
      <c r="G24" s="241" t="n"/>
      <c r="H24" s="241" t="n"/>
      <c r="I24" s="242" t="n"/>
      <c r="J24" s="241" t="n"/>
      <c r="K24" s="241" t="n"/>
    </row>
    <row r="25" ht="15" customHeight="1" s="210">
      <c r="D25" s="242" t="n"/>
      <c r="E25" s="243" t="inlineStr">
        <is>
          <t>Zip code of POS- Percent or count of local vendors</t>
        </is>
      </c>
      <c r="F25" s="241" t="n"/>
      <c r="G25" s="241" t="n"/>
      <c r="H25" s="241" t="n"/>
      <c r="I25" s="242" t="n"/>
      <c r="J25" s="241" t="n"/>
      <c r="K25" s="241" t="n"/>
    </row>
    <row r="26" ht="15" customHeight="1" s="210">
      <c r="D26" s="242" t="n"/>
      <c r="E26" s="243" t="inlineStr">
        <is>
          <t>Number of p-card transactions and dollars; (Phase 2: by type of transaction..travel, operational, etc.)</t>
        </is>
      </c>
      <c r="F26" s="241" t="n"/>
      <c r="G26" s="241" t="n"/>
      <c r="H26" s="241" t="n"/>
      <c r="I26" s="242" t="n"/>
      <c r="J26" s="241" t="n"/>
      <c r="K26" s="241" t="n"/>
    </row>
    <row r="27" ht="15" customHeight="1" s="210">
      <c r="D27" s="242" t="n"/>
      <c r="E27" s="243" t="inlineStr">
        <is>
          <t>Procurement piece of projects (open, stage of the project, etc.);</t>
        </is>
      </c>
      <c r="F27" s="241" t="n"/>
      <c r="G27" s="241" t="n"/>
      <c r="H27" s="241" t="n"/>
      <c r="I27" s="242" t="n"/>
      <c r="J27" s="241" t="n"/>
      <c r="K27" s="241" t="n"/>
    </row>
    <row r="28" ht="15" customHeight="1" s="210">
      <c r="C28" s="245" t="n"/>
      <c r="D28" s="242" t="n"/>
      <c r="E28" s="243" t="inlineStr">
        <is>
          <t>Purchasing Exemptions by Type (16)</t>
        </is>
      </c>
      <c r="F28" s="241" t="n"/>
      <c r="G28" s="241" t="n"/>
      <c r="H28" s="241" t="n"/>
      <c r="I28" s="242" t="n"/>
      <c r="J28" s="241" t="n"/>
      <c r="K28" s="241" t="n"/>
    </row>
    <row r="29" ht="15" customHeight="1" s="210">
      <c r="C29" s="241" t="inlineStr">
        <is>
          <t>Vendor Management</t>
        </is>
      </c>
      <c r="D29" s="242" t="inlineStr">
        <is>
          <t>p98</t>
        </is>
      </c>
      <c r="E29" s="243" t="inlineStr">
        <is>
          <t>Total cost to a vendor ($)</t>
        </is>
      </c>
      <c r="F29" s="241" t="n"/>
      <c r="G29" s="241" t="n"/>
      <c r="H29" s="241" t="n"/>
      <c r="I29" s="242" t="n"/>
      <c r="J29" s="241" t="n"/>
      <c r="K29" s="241" t="n"/>
    </row>
    <row r="30" ht="15" customHeight="1" s="210">
      <c r="C30" s="244" t="inlineStr">
        <is>
          <t>Accounting &amp; Reporting</t>
        </is>
      </c>
      <c r="D30" s="242" t="inlineStr">
        <is>
          <t>p18</t>
        </is>
      </c>
      <c r="E30" s="243" t="inlineStr">
        <is>
          <t>success rate in deterring fraudulent transactions on bank account</t>
        </is>
      </c>
      <c r="F30" s="241" t="n"/>
      <c r="G30" s="241" t="n"/>
      <c r="H30" s="241" t="n"/>
      <c r="I30" s="242" t="n"/>
      <c r="J30" s="241" t="n"/>
      <c r="K30" s="241" t="n"/>
    </row>
    <row r="31" ht="15" customHeight="1" s="210">
      <c r="D31" s="242" t="n"/>
      <c r="E31" s="243" t="inlineStr">
        <is>
          <t>cash reconciliations in timely manner</t>
        </is>
      </c>
      <c r="F31" s="241" t="n"/>
      <c r="G31" s="241" t="n"/>
      <c r="H31" s="241" t="n"/>
      <c r="I31" s="242" t="n"/>
      <c r="J31" s="241" t="n"/>
      <c r="K31" s="241" t="n"/>
    </row>
    <row r="32" ht="15" customHeight="1" s="210">
      <c r="D32" s="242" t="n"/>
      <c r="E32" s="243" t="inlineStr">
        <is>
          <t>savings from using 3rd party providers ie Hauler Logic for water dock</t>
        </is>
      </c>
      <c r="F32" s="241" t="n"/>
      <c r="G32" s="241" t="n"/>
      <c r="H32" s="241" t="n"/>
      <c r="I32" s="242" t="n"/>
      <c r="J32" s="241" t="n"/>
      <c r="K32" s="241" t="n"/>
    </row>
    <row r="33" ht="15" customHeight="1" s="210">
      <c r="D33" s="242" t="n"/>
      <c r="E33" s="243" t="inlineStr">
        <is>
          <t>outstanding checks for payroll stay within 1 year</t>
        </is>
      </c>
      <c r="F33" s="241" t="n"/>
      <c r="G33" s="241" t="n"/>
      <c r="H33" s="241" t="n"/>
      <c r="I33" s="242" t="n"/>
      <c r="J33" s="241" t="n"/>
      <c r="K33" s="241" t="n"/>
    </row>
    <row r="34" ht="15" customHeight="1" s="210">
      <c r="D34" s="242" t="n"/>
      <c r="E34" s="243" t="inlineStr">
        <is>
          <t>outstanding checks for a/p vendors 1 year</t>
        </is>
      </c>
      <c r="F34" s="241" t="n"/>
      <c r="G34" s="241" t="n"/>
      <c r="H34" s="241" t="n"/>
      <c r="I34" s="242" t="n"/>
      <c r="J34" s="241" t="n"/>
      <c r="K34" s="241" t="n"/>
    </row>
    <row r="35" ht="15" customHeight="1" s="210">
      <c r="D35" s="242" t="n"/>
      <c r="E35" s="243" t="inlineStr">
        <is>
          <t>Tax Based Revenue</t>
        </is>
      </c>
      <c r="F35" s="241" t="n"/>
      <c r="G35" s="241" t="n"/>
      <c r="H35" s="241" t="n"/>
      <c r="I35" s="242" t="n"/>
      <c r="J35" s="241" t="n"/>
      <c r="K35" s="241" t="n"/>
    </row>
    <row r="36" ht="15" customHeight="1" s="210">
      <c r="D36" s="242" t="n"/>
      <c r="E36" s="243" t="inlineStr">
        <is>
          <t xml:space="preserve">closing the month on a regular schedule, ie 10th of month unless a holiday week - Including total pending/unreconcilled transaction </t>
        </is>
      </c>
      <c r="F36" s="241" t="n"/>
      <c r="G36" s="241" t="n"/>
      <c r="H36" s="241" t="n"/>
      <c r="I36" s="242" t="n"/>
      <c r="J36" s="241" t="n"/>
      <c r="K36" s="241" t="n"/>
    </row>
    <row r="37" ht="15" customHeight="1" s="210">
      <c r="D37" s="242" t="n"/>
      <c r="E37" s="243" t="inlineStr">
        <is>
          <t>A/R billing monthly</t>
        </is>
      </c>
      <c r="F37" s="241" t="n"/>
      <c r="G37" s="241" t="n"/>
      <c r="H37" s="241" t="n"/>
      <c r="I37" s="242" t="n"/>
      <c r="J37" s="241" t="n"/>
      <c r="K37" s="241" t="n"/>
    </row>
    <row r="38" ht="15" customHeight="1" s="210">
      <c r="C38" s="245" t="n"/>
      <c r="D38" s="242" t="n"/>
      <c r="E38" s="243" t="inlineStr">
        <is>
          <t>MAR Aging -outstanding payments less than 60 days out</t>
        </is>
      </c>
      <c r="F38" s="241" t="n"/>
      <c r="G38" s="241" t="n"/>
      <c r="H38" s="241" t="n"/>
      <c r="I38" s="242" t="n"/>
      <c r="J38" s="241" t="n"/>
      <c r="K38" s="241" t="n"/>
    </row>
    <row r="39" ht="15" customHeight="1" s="210">
      <c r="B39" s="231" t="n"/>
      <c r="C39" s="241" t="inlineStr">
        <is>
          <t>Financial Compliance</t>
        </is>
      </c>
      <c r="D39" s="242" t="inlineStr">
        <is>
          <t>p99</t>
        </is>
      </c>
      <c r="E39" s="243" t="inlineStr">
        <is>
          <t>Meeting deadlines to State Auditor for annual reports for Airport, COD &amp; ETSA</t>
        </is>
      </c>
      <c r="F39" s="241" t="n"/>
      <c r="G39" s="241" t="n"/>
      <c r="H39" s="241" t="n"/>
      <c r="I39" s="242" t="n"/>
      <c r="J39" s="241" t="n"/>
      <c r="K39" s="241" t="n"/>
    </row>
    <row r="40" ht="15" customHeight="1" s="210">
      <c r="B40" s="240" t="inlineStr">
        <is>
          <t>Human Resources &amp; Workforce Development (ks5)
Employee Engagement Rate (EE survey)
Hiring: time to hire from NeoGov
Retain &amp; Develop: Internal promotion rate
Retain &amp; develop: turnover rate by voluntary vs not</t>
        </is>
      </c>
      <c r="C40" s="244" t="inlineStr">
        <is>
          <t>Learning &amp; Development</t>
        </is>
      </c>
      <c r="D40" s="242" t="inlineStr">
        <is>
          <t>p22</t>
        </is>
      </c>
      <c r="E40" s="243" t="inlineStr">
        <is>
          <t>CFT participation</t>
        </is>
      </c>
      <c r="F40" s="241" t="n"/>
      <c r="G40" s="241" t="n"/>
      <c r="H40" s="241" t="n"/>
      <c r="I40" s="242" t="n"/>
      <c r="J40" s="241" t="n"/>
      <c r="K40" s="241" t="n"/>
    </row>
    <row r="41" ht="15" customHeight="1" s="210">
      <c r="D41" s="242" t="n"/>
      <c r="E41" s="243" t="inlineStr">
        <is>
          <t>Utilization of tuition reimbursement program</t>
        </is>
      </c>
      <c r="F41" s="241" t="n"/>
      <c r="G41" s="241" t="n"/>
      <c r="H41" s="241" t="n"/>
      <c r="I41" s="242" t="n"/>
      <c r="J41" s="241" t="n"/>
      <c r="K41" s="241" t="n"/>
    </row>
    <row r="42" ht="15" customHeight="1" s="210">
      <c r="C42" s="245" t="n"/>
      <c r="D42" s="242" t="n"/>
      <c r="E42" s="243" t="inlineStr">
        <is>
          <t>Utilization of professional development budget</t>
        </is>
      </c>
      <c r="F42" s="241" t="n"/>
      <c r="G42" s="241" t="n"/>
      <c r="H42" s="241" t="n"/>
      <c r="I42" s="242" t="n"/>
      <c r="J42" s="241" t="n"/>
      <c r="K42" s="241" t="n"/>
    </row>
    <row r="43" ht="15" customHeight="1" s="210">
      <c r="C43" s="244" t="inlineStr">
        <is>
          <t>Recruitment &amp; Retention</t>
        </is>
      </c>
      <c r="D43" s="242" t="inlineStr">
        <is>
          <t>p24</t>
        </is>
      </c>
      <c r="E43" s="243" t="inlineStr">
        <is>
          <t>Retain: Employee Engagement Rate (EE survey)</t>
        </is>
      </c>
      <c r="F43" s="241" t="n"/>
      <c r="G43" s="241" t="n"/>
      <c r="H43" s="241" t="n"/>
      <c r="I43" s="242" t="n"/>
      <c r="J43" s="241" t="n"/>
      <c r="K43" s="241" t="n"/>
    </row>
    <row r="44" ht="15" customHeight="1" s="210">
      <c r="D44" s="242" t="n"/>
      <c r="E44" s="243" t="inlineStr">
        <is>
          <t>Attracting: job posting view</t>
        </is>
      </c>
      <c r="F44" s="241" t="n"/>
      <c r="G44" s="241" t="n"/>
      <c r="H44" s="241" t="n"/>
      <c r="I44" s="242" t="n"/>
      <c r="J44" s="241" t="n"/>
      <c r="K44" s="241" t="n"/>
    </row>
    <row r="45" ht="15" customHeight="1" s="210">
      <c r="D45" s="242" t="n"/>
      <c r="E45" s="243" t="inlineStr">
        <is>
          <t>Attracting: applications per recruitment</t>
        </is>
      </c>
      <c r="F45" s="241" t="n"/>
      <c r="G45" s="241" t="n"/>
      <c r="H45" s="241" t="n"/>
      <c r="I45" s="242" t="n"/>
      <c r="J45" s="241" t="n"/>
      <c r="K45" s="241" t="n"/>
    </row>
    <row r="46" ht="15" customHeight="1" s="210">
      <c r="D46" s="242" t="n"/>
      <c r="E46" s="243" t="inlineStr">
        <is>
          <t>Attracting: traffic source data</t>
        </is>
      </c>
      <c r="F46" s="241" t="n"/>
      <c r="G46" s="241" t="n"/>
      <c r="H46" s="241" t="n"/>
      <c r="I46" s="242" t="n"/>
      <c r="J46" s="241" t="n"/>
      <c r="K46" s="241" t="n"/>
    </row>
    <row r="47" ht="15" customHeight="1" s="210">
      <c r="D47" s="242" t="n"/>
      <c r="E47" s="243" t="inlineStr">
        <is>
          <t>Hiring: time to hire from NeoGov</t>
        </is>
      </c>
      <c r="F47" s="241" t="n"/>
      <c r="G47" s="241" t="n"/>
      <c r="H47" s="241" t="n"/>
      <c r="I47" s="242" t="n"/>
      <c r="J47" s="241" t="n"/>
      <c r="K47" s="241" t="n"/>
    </row>
    <row r="48" ht="15" customHeight="1" s="210">
      <c r="D48" s="242" t="n"/>
      <c r="E48" s="243" t="inlineStr">
        <is>
          <t>Hiring: offer acceptance rate</t>
        </is>
      </c>
      <c r="F48" s="241" t="n"/>
      <c r="G48" s="241" t="n"/>
      <c r="H48" s="241" t="n"/>
      <c r="I48" s="242" t="n"/>
      <c r="J48" s="241" t="n"/>
      <c r="K48" s="241" t="n"/>
    </row>
    <row r="49" ht="15" customHeight="1" s="210">
      <c r="D49" s="242" t="n"/>
      <c r="E49" s="243" t="inlineStr">
        <is>
          <t>Retain &amp; develop: vacancy rate</t>
        </is>
      </c>
      <c r="F49" s="241" t="n"/>
      <c r="G49" s="241" t="n"/>
      <c r="H49" s="241" t="n"/>
      <c r="I49" s="242" t="n"/>
      <c r="J49" s="241" t="n"/>
      <c r="K49" s="241" t="n"/>
    </row>
    <row r="50" ht="15" customHeight="1" s="210">
      <c r="D50" s="242" t="n"/>
      <c r="E50" s="243" t="inlineStr">
        <is>
          <t>Retain &amp; develop: 1st year retention</t>
        </is>
      </c>
      <c r="F50" s="241" t="n"/>
      <c r="G50" s="241" t="n"/>
      <c r="H50" s="241" t="n"/>
      <c r="I50" s="242" t="n"/>
      <c r="J50" s="241" t="n"/>
      <c r="K50" s="241" t="n"/>
    </row>
    <row r="51" ht="15" customHeight="1" s="210">
      <c r="D51" s="242" t="n"/>
      <c r="E51" s="243" t="inlineStr">
        <is>
          <t>Retain &amp; Develop: Internal promotion rate</t>
        </is>
      </c>
      <c r="F51" s="241" t="n"/>
      <c r="G51" s="241" t="n"/>
      <c r="H51" s="241" t="n"/>
      <c r="I51" s="242" t="n"/>
      <c r="J51" s="241" t="n"/>
      <c r="K51" s="241" t="n"/>
    </row>
    <row r="52" ht="15" customHeight="1" s="210">
      <c r="C52" s="245" t="n"/>
      <c r="D52" s="242" t="n"/>
      <c r="E52" s="243" t="inlineStr">
        <is>
          <t>Retain &amp; develop: turnover rate</t>
        </is>
      </c>
      <c r="F52" s="241" t="n"/>
      <c r="G52" s="241" t="n"/>
      <c r="H52" s="241" t="n"/>
      <c r="I52" s="242" t="n"/>
      <c r="J52" s="241" t="n"/>
      <c r="K52" s="241" t="n"/>
    </row>
    <row r="53" ht="15" customHeight="1" s="210">
      <c r="C53" s="244" t="inlineStr">
        <is>
          <t>Compensation &amp; Benefits</t>
        </is>
      </c>
      <c r="D53" s="242" t="inlineStr">
        <is>
          <t>p25</t>
        </is>
      </c>
      <c r="E53" s="243" t="inlineStr">
        <is>
          <t>Exit survey: satisfaction with compensation and benefits</t>
        </is>
      </c>
      <c r="F53" s="241" t="n"/>
      <c r="G53" s="241" t="n"/>
      <c r="H53" s="241" t="n"/>
      <c r="I53" s="242" t="n"/>
      <c r="J53" s="241" t="n"/>
      <c r="K53" s="241" t="n"/>
    </row>
    <row r="54" ht="15" customHeight="1" s="210">
      <c r="B54" s="231" t="n"/>
      <c r="C54" s="245" t="n"/>
      <c r="D54" s="242" t="n"/>
      <c r="E54" s="243" t="inlineStr">
        <is>
          <t>Employee Engagement Survey: satisfaction with compensation and benefits</t>
        </is>
      </c>
      <c r="F54" s="241" t="n"/>
      <c r="G54" s="241" t="n"/>
      <c r="H54" s="241" t="n"/>
      <c r="I54" s="242" t="n"/>
      <c r="J54" s="241" t="n"/>
      <c r="K54" s="241" t="n"/>
    </row>
    <row r="55" ht="15" customHeight="1" s="210">
      <c r="B55" s="240" t="inlineStr">
        <is>
          <t>Legal Services (ks6)</t>
        </is>
      </c>
      <c r="C55" s="241" t="inlineStr">
        <is>
          <t>Legal Counsel</t>
        </is>
      </c>
      <c r="D55" s="242" t="inlineStr">
        <is>
          <t>p26</t>
        </is>
      </c>
      <c r="E55" s="243" t="n"/>
      <c r="F55" s="241" t="n"/>
      <c r="G55" s="241" t="n"/>
      <c r="H55" s="241" t="n"/>
      <c r="I55" s="242" t="n"/>
      <c r="J55" s="241" t="n"/>
      <c r="K55" s="241" t="n"/>
    </row>
    <row r="56" ht="15" customHeight="1" s="210">
      <c r="C56" s="244" t="inlineStr">
        <is>
          <t>Risk Management</t>
        </is>
      </c>
      <c r="D56" s="242" t="inlineStr">
        <is>
          <t>p27</t>
        </is>
      </c>
      <c r="E56" s="243" t="inlineStr">
        <is>
          <t>DOT Compliance Score (employees with CDLs)</t>
        </is>
      </c>
      <c r="F56" s="241" t="n"/>
      <c r="G56" s="241" t="n"/>
      <c r="H56" s="241" t="n"/>
      <c r="I56" s="242" t="n"/>
      <c r="J56" s="241" t="n"/>
      <c r="K56" s="241" t="n"/>
    </row>
    <row r="57" ht="15" customHeight="1" s="210">
      <c r="D57" s="242" t="n"/>
      <c r="E57" s="243" t="inlineStr">
        <is>
          <t>EMOD (experience modification) for Work Comp - annually from Pinnacol, score dictates premium</t>
        </is>
      </c>
      <c r="F57" s="241" t="n"/>
      <c r="G57" s="241" t="n"/>
      <c r="H57" s="241" t="n"/>
      <c r="I57" s="242" t="n"/>
      <c r="J57" s="241" t="n"/>
      <c r="K57" s="241" t="n"/>
    </row>
    <row r="58" ht="15" customHeight="1" s="210">
      <c r="D58" s="242" t="n"/>
      <c r="E58" s="243" t="inlineStr">
        <is>
          <t>Work Comp (loss run report?)</t>
        </is>
      </c>
      <c r="F58" s="241" t="n"/>
      <c r="G58" s="241" t="n"/>
      <c r="H58" s="241" t="n"/>
      <c r="I58" s="242" t="n"/>
      <c r="J58" s="241" t="n"/>
      <c r="K58" s="241" t="n"/>
    </row>
    <row r="59" ht="15" customHeight="1" s="210">
      <c r="D59" s="242" t="n"/>
      <c r="E59" s="243" t="inlineStr">
        <is>
          <t>Property casualty claims (by department, dollar amount)</t>
        </is>
      </c>
      <c r="F59" s="241" t="n"/>
      <c r="G59" s="241" t="n"/>
      <c r="H59" s="241" t="n"/>
      <c r="I59" s="242" t="n"/>
      <c r="J59" s="241" t="n"/>
      <c r="K59" s="241" t="n"/>
    </row>
    <row r="60" ht="15" customHeight="1" s="210">
      <c r="D60" s="242" t="n"/>
      <c r="E60" s="243" t="inlineStr">
        <is>
          <t>Accident Review Board - Average or cumulative severity?</t>
        </is>
      </c>
      <c r="F60" s="241" t="n"/>
      <c r="G60" s="241" t="n"/>
      <c r="H60" s="241" t="n"/>
      <c r="I60" s="242" t="n"/>
      <c r="J60" s="241" t="n"/>
      <c r="K60" s="241" t="n"/>
    </row>
    <row r="61" ht="15" customHeight="1" s="210">
      <c r="C61" s="245" t="n"/>
      <c r="D61" s="242" t="n"/>
      <c r="E61" s="243" t="inlineStr">
        <is>
          <t>Safety Training</t>
        </is>
      </c>
      <c r="F61" s="241" t="n"/>
      <c r="G61" s="241" t="n"/>
      <c r="H61" s="241" t="n"/>
      <c r="I61" s="242" t="n"/>
      <c r="J61" s="241" t="n"/>
      <c r="K61" s="241" t="n"/>
    </row>
    <row r="62" ht="15" customHeight="1" s="210">
      <c r="B62" s="231" t="n"/>
      <c r="C62" s="241" t="inlineStr">
        <is>
          <t>Code Compliance</t>
        </is>
      </c>
      <c r="D62" s="242" t="inlineStr">
        <is>
          <t>p28</t>
        </is>
      </c>
      <c r="E62" s="243" t="n"/>
      <c r="F62" s="241" t="n"/>
      <c r="G62" s="241" t="n"/>
      <c r="H62" s="241" t="n"/>
      <c r="I62" s="242" t="n"/>
      <c r="J62" s="241" t="n"/>
      <c r="K62" s="241" t="n"/>
    </row>
    <row r="63" ht="15" customHeight="1" s="210">
      <c r="B63" s="240" t="inlineStr">
        <is>
          <t>Information Technology Services (ks7)
Phish Prone Rate
Network Uptime
PIT Scores
Help Desk Resolution within SLA
IT Liaison Survey</t>
        </is>
      </c>
      <c r="C63" s="241" t="inlineStr">
        <is>
          <t>Network &amp; Infrastructure Management</t>
        </is>
      </c>
      <c r="D63" s="242" t="inlineStr">
        <is>
          <t>p30</t>
        </is>
      </c>
      <c r="E63" s="243" t="inlineStr">
        <is>
          <t>Network Uptime (Planned vs. Unplanned)</t>
        </is>
      </c>
      <c r="F63" s="241" t="n"/>
      <c r="G63" s="241" t="n"/>
      <c r="H63" s="241" t="n"/>
      <c r="I63" s="242" t="n"/>
      <c r="J63" s="235" t="inlineStr">
        <is>
          <t>Online</t>
        </is>
      </c>
      <c r="K63" s="241" t="n"/>
    </row>
    <row r="64" ht="15" customHeight="1" s="210">
      <c r="C64" s="241" t="inlineStr">
        <is>
          <t>Cybersecurity</t>
        </is>
      </c>
      <c r="D64" s="242" t="inlineStr">
        <is>
          <t>p31</t>
        </is>
      </c>
      <c r="E64" s="243" t="inlineStr">
        <is>
          <t>Organization phish prone rate</t>
        </is>
      </c>
      <c r="F64" s="241" t="n"/>
      <c r="G64" s="241" t="n"/>
      <c r="H64" s="241" t="n"/>
      <c r="I64" s="242" t="n"/>
      <c r="J64" s="235" t="inlineStr">
        <is>
          <t>Online</t>
        </is>
      </c>
      <c r="K64" s="241" t="n"/>
    </row>
    <row r="65" ht="15" customHeight="1" s="210">
      <c r="C65" s="241" t="inlineStr">
        <is>
          <t>Business Applications Support</t>
        </is>
      </c>
      <c r="D65" s="242" t="inlineStr">
        <is>
          <t>p32</t>
        </is>
      </c>
      <c r="E65" s="243" t="inlineStr">
        <is>
          <t>Tickets per Application</t>
        </is>
      </c>
      <c r="F65" s="241" t="n"/>
      <c r="G65" s="241" t="n"/>
      <c r="H65" s="241" t="n"/>
      <c r="I65" s="242" t="n"/>
      <c r="J65" s="241" t="n"/>
      <c r="K65" s="241" t="n"/>
    </row>
    <row r="66" ht="15" customHeight="1" s="210">
      <c r="C66" s="244" t="inlineStr">
        <is>
          <t>GIS</t>
        </is>
      </c>
      <c r="D66" s="242" t="inlineStr">
        <is>
          <t>p33</t>
        </is>
      </c>
      <c r="E66" s="243" t="inlineStr">
        <is>
          <t>Address Requirest within SLA</t>
        </is>
      </c>
      <c r="F66" s="241" t="n"/>
      <c r="G66" s="241" t="n"/>
      <c r="H66" s="241" t="n"/>
      <c r="I66" s="242" t="n"/>
      <c r="J66" s="241" t="n"/>
      <c r="K66" s="241" t="n"/>
    </row>
    <row r="67" ht="15" customHeight="1" s="210">
      <c r="D67" s="242" t="n"/>
      <c r="E67" s="243" t="inlineStr">
        <is>
          <t>New Address NENA Compliance</t>
        </is>
      </c>
      <c r="F67" s="241" t="n"/>
      <c r="G67" s="241" t="n"/>
      <c r="H67" s="241" t="n"/>
      <c r="I67" s="242" t="n"/>
      <c r="J67" s="241" t="n"/>
      <c r="K67" s="241" t="n"/>
    </row>
    <row r="68" ht="15" customHeight="1" s="210">
      <c r="C68" s="245" t="n"/>
      <c r="D68" s="242" t="n"/>
      <c r="E68" s="243" t="inlineStr">
        <is>
          <t>NENA Compliance (overall)</t>
        </is>
      </c>
      <c r="F68" s="241" t="n"/>
      <c r="G68" s="241" t="n"/>
      <c r="H68" s="241" t="n"/>
      <c r="I68" s="242" t="n"/>
      <c r="J68" s="241" t="n"/>
      <c r="K68" s="241" t="n"/>
    </row>
    <row r="69" ht="15" customHeight="1" s="210">
      <c r="C69" s="244" t="inlineStr">
        <is>
          <t>Help Desk</t>
        </is>
      </c>
      <c r="D69" s="242" t="inlineStr">
        <is>
          <t>p34</t>
        </is>
      </c>
      <c r="E69" s="243" t="inlineStr">
        <is>
          <t>PIT survey</t>
        </is>
      </c>
      <c r="F69" s="241" t="n"/>
      <c r="G69" s="241" t="n"/>
      <c r="H69" s="241" t="n"/>
      <c r="I69" s="242" t="n"/>
      <c r="J69" s="241" t="n"/>
      <c r="K69" s="241" t="n"/>
    </row>
    <row r="70" ht="15" customHeight="1" s="210">
      <c r="D70" s="242" t="n"/>
      <c r="E70" s="243" t="inlineStr">
        <is>
          <t>Ticket closure within SLA</t>
        </is>
      </c>
      <c r="F70" s="241" t="n"/>
      <c r="G70" s="241" t="n"/>
      <c r="H70" s="241" t="n"/>
      <c r="I70" s="242" t="n"/>
      <c r="J70" s="241" t="n"/>
      <c r="K70" s="241" t="n"/>
    </row>
    <row r="71" ht="15" customHeight="1" s="210">
      <c r="B71" s="231" t="n"/>
      <c r="C71" s="245" t="n"/>
      <c r="D71" s="242" t="n"/>
      <c r="E71" s="243" t="inlineStr">
        <is>
          <t>Critical Ticket Count</t>
        </is>
      </c>
      <c r="F71" s="241" t="n"/>
      <c r="G71" s="241" t="n"/>
      <c r="H71" s="241" t="n"/>
      <c r="I71" s="242" t="n"/>
      <c r="J71" s="241" t="n"/>
      <c r="K71" s="241" t="n"/>
    </row>
    <row r="72" ht="15" customHeight="1" s="210">
      <c r="A72" s="246" t="inlineStr">
        <is>
          <t>Community Growth &amp; Economic Vitality
(ws3)</t>
        </is>
      </c>
      <c r="B72" s="247" t="inlineStr">
        <is>
          <t xml:space="preserve">Community Development &amp; Planning (ks8)
Total Regulated Affordable Housing Units
Acres of land annexed and sorted by zone
Building permits issued within 48 hours
Land use permits: Median number of days for application submittal to approval/completion (extreme outliers) - pre app, sign permits, limited use permits, </t>
        </is>
      </c>
      <c r="C72" s="248" t="inlineStr">
        <is>
          <t>Long Range Comprehensive Planning</t>
        </is>
      </c>
      <c r="D72" s="249" t="inlineStr">
        <is>
          <t>p35</t>
        </is>
      </c>
      <c r="E72" s="250" t="inlineStr">
        <is>
          <t>Acres of land annexed and sorted by zone</t>
        </is>
      </c>
      <c r="F72" s="251" t="n"/>
      <c r="G72" s="251" t="n"/>
      <c r="H72" s="251" t="n"/>
      <c r="I72" s="249" t="n"/>
      <c r="J72" s="251" t="n"/>
      <c r="K72" s="251" t="n"/>
    </row>
    <row r="73" ht="15" customHeight="1" s="210">
      <c r="D73" s="249" t="n"/>
      <c r="E73" s="250" t="inlineStr">
        <is>
          <t>Could plug in metrics from prosperity</t>
        </is>
      </c>
      <c r="F73" s="251" t="n"/>
      <c r="G73" s="251" t="n"/>
      <c r="H73" s="251" t="n"/>
      <c r="I73" s="249" t="n"/>
      <c r="J73" s="251" t="n"/>
      <c r="K73" s="251" t="n"/>
    </row>
    <row r="74" ht="15" customHeight="1" s="210">
      <c r="C74" s="252" t="n"/>
      <c r="D74" s="249" t="n"/>
      <c r="E74" s="250" t="inlineStr">
        <is>
          <t>Dwelling units created each year/existing units = percent increase</t>
        </is>
      </c>
      <c r="F74" s="251" t="n"/>
      <c r="G74" s="251" t="n"/>
      <c r="H74" s="251" t="n"/>
      <c r="I74" s="249" t="n"/>
      <c r="J74" s="251" t="n"/>
      <c r="K74" s="251" t="n"/>
    </row>
    <row r="75" ht="15" customHeight="1" s="210">
      <c r="C75" s="253" t="inlineStr">
        <is>
          <t>Development Review &amp; Permitting (inspections)</t>
        </is>
      </c>
      <c r="D75" s="249" t="inlineStr">
        <is>
          <t>p36</t>
        </is>
      </c>
      <c r="E75" s="250" t="inlineStr">
        <is>
          <t>Median number of days for application submittal to approval/completion (extreme outliers) - pre app, sign permits, limited use permits,</t>
        </is>
      </c>
      <c r="F75" s="251" t="n"/>
      <c r="G75" s="251" t="n"/>
      <c r="H75" s="251" t="n"/>
      <c r="I75" s="249" t="n"/>
      <c r="J75" s="251" t="n"/>
      <c r="K75" s="251" t="n"/>
    </row>
    <row r="76" ht="15" customHeight="1" s="210">
      <c r="D76" s="249" t="n"/>
      <c r="E76" s="250" t="inlineStr">
        <is>
          <t>Median number of days for application submittal to approval/completion (extreme outliers) - pre app in two weeks/or other SLA</t>
        </is>
      </c>
      <c r="F76" s="251" t="n"/>
      <c r="G76" s="251" t="n"/>
      <c r="H76" s="251" t="n"/>
      <c r="I76" s="249" t="n"/>
      <c r="J76" s="251" t="n"/>
      <c r="K76" s="251" t="n"/>
    </row>
    <row r="77" ht="15" customHeight="1" s="210">
      <c r="D77" s="249" t="n"/>
      <c r="E77" s="250" t="inlineStr">
        <is>
          <t>% of applications with a complete review within 21 days</t>
        </is>
      </c>
      <c r="F77" s="251" t="n"/>
      <c r="G77" s="251" t="n"/>
      <c r="H77" s="251" t="n"/>
      <c r="I77" s="249" t="n"/>
      <c r="J77" s="251" t="n"/>
      <c r="K77" s="251" t="n"/>
    </row>
    <row r="78" ht="15" customHeight="1" s="210">
      <c r="C78" s="252" t="n"/>
      <c r="D78" s="249" t="n"/>
      <c r="E78" s="250" t="inlineStr">
        <is>
          <t>% of solar, roofing, windows, siding permits issued in 48 hours</t>
        </is>
      </c>
      <c r="F78" s="251" t="n"/>
      <c r="G78" s="251" t="n"/>
      <c r="H78" s="251" t="n"/>
      <c r="I78" s="249" t="n"/>
      <c r="J78" s="251" t="n"/>
      <c r="K78" s="251" t="n"/>
    </row>
    <row r="79" ht="15" customHeight="1" s="210">
      <c r="C79" s="253" t="inlineStr">
        <is>
          <t>Housing Initiatives</t>
        </is>
      </c>
      <c r="D79" s="249" t="inlineStr">
        <is>
          <t>p37</t>
        </is>
      </c>
      <c r="E79" s="250" t="inlineStr">
        <is>
          <t>total regulated affordable housing units</t>
        </is>
      </c>
      <c r="F79" s="251" t="n"/>
      <c r="G79" s="251" t="n"/>
      <c r="H79" s="251" t="n"/>
      <c r="I79" s="249" t="n"/>
      <c r="J79" s="235" t="inlineStr">
        <is>
          <t>Online</t>
        </is>
      </c>
      <c r="K79" s="251" t="n"/>
    </row>
    <row r="80" ht="15" customHeight="1" s="210">
      <c r="D80" s="249" t="n"/>
      <c r="E80" s="250" t="inlineStr">
        <is>
          <t>building permits issued under prop 123</t>
        </is>
      </c>
      <c r="F80" s="251" t="n"/>
      <c r="G80" s="251" t="n"/>
      <c r="H80" s="251" t="n"/>
      <c r="I80" s="249" t="n"/>
      <c r="J80" s="251" t="n"/>
      <c r="K80" s="251" t="n"/>
    </row>
    <row r="81" ht="15" customHeight="1" s="210">
      <c r="D81" s="249" t="n"/>
      <c r="E81" s="250" t="inlineStr">
        <is>
          <t>total residential building permits</t>
        </is>
      </c>
      <c r="F81" s="251" t="n"/>
      <c r="G81" s="251" t="n"/>
      <c r="H81" s="251" t="n"/>
      <c r="I81" s="249" t="n"/>
      <c r="J81" s="251" t="n"/>
      <c r="K81" s="251" t="n"/>
    </row>
    <row r="82" ht="15" customHeight="1" s="210">
      <c r="D82" s="249" t="n"/>
      <c r="E82" s="250" t="inlineStr">
        <is>
          <t>ADU Owner Occupancy Compliance - 50% rn</t>
        </is>
      </c>
      <c r="F82" s="251" t="n"/>
      <c r="G82" s="251" t="n"/>
      <c r="H82" s="251" t="n"/>
      <c r="I82" s="249" t="n"/>
      <c r="J82" s="251" t="n"/>
      <c r="K82" s="251" t="n"/>
    </row>
    <row r="83" ht="15" customHeight="1" s="210">
      <c r="D83" s="249" t="n"/>
      <c r="E83" s="250" t="inlineStr">
        <is>
          <t>Dwelling units created each year/existing units = percent increase</t>
        </is>
      </c>
      <c r="F83" s="251" t="n"/>
      <c r="G83" s="251" t="n"/>
      <c r="H83" s="251" t="n"/>
      <c r="I83" s="249" t="n"/>
      <c r="J83" s="251" t="n"/>
      <c r="K83" s="251" t="n"/>
    </row>
    <row r="84" ht="15" customHeight="1" s="210">
      <c r="C84" s="252" t="n"/>
      <c r="D84" s="249" t="n"/>
      <c r="E84" s="250" t="inlineStr">
        <is>
          <t>Percent of alteration certificates completed within the 3rd avenue district</t>
        </is>
      </c>
      <c r="F84" s="251" t="n"/>
      <c r="G84" s="251" t="n"/>
      <c r="H84" s="251" t="n"/>
      <c r="I84" s="249" t="n"/>
      <c r="J84" s="251" t="n"/>
      <c r="K84" s="251" t="n"/>
    </row>
    <row r="85" ht="15" customHeight="1" s="210">
      <c r="B85" s="231" t="n"/>
      <c r="C85" s="251" t="inlineStr">
        <is>
          <t>Historical Preservation</t>
        </is>
      </c>
      <c r="D85" s="249" t="inlineStr">
        <is>
          <t>p38</t>
        </is>
      </c>
      <c r="E85" s="250" t="inlineStr">
        <is>
          <t>Percent of alteration certificates completed within the 3rd avenue district</t>
        </is>
      </c>
      <c r="F85" s="251" t="n"/>
      <c r="G85" s="251" t="n"/>
      <c r="H85" s="251" t="n"/>
      <c r="I85" s="249" t="n"/>
      <c r="J85" s="251" t="n"/>
      <c r="K85" s="251" t="n"/>
    </row>
    <row r="86" ht="23.25" customHeight="1" s="210">
      <c r="B86" s="247" t="inlineStr">
        <is>
          <t>Economic Prosperity &amp; Business Support (ks9)
Annual URA Income as a rate of growth - broken out individually by URA and total
Occupancy Rate (Year over Year Quarterly) + Visitor Spend (annual YOY)</t>
        </is>
      </c>
      <c r="C86" s="253" t="inlineStr">
        <is>
          <t>Community Investments, Partnerships, and Grant Making</t>
        </is>
      </c>
      <c r="D86" s="249" t="inlineStr">
        <is>
          <t>p100</t>
        </is>
      </c>
      <c r="E86" s="250" t="inlineStr">
        <is>
          <t>Number of grants awarded Annually</t>
        </is>
      </c>
      <c r="F86" s="251" t="n"/>
      <c r="G86" s="251" t="n"/>
      <c r="H86" s="251" t="n"/>
      <c r="I86" s="249" t="n"/>
      <c r="J86" s="251" t="n"/>
      <c r="K86" s="251" t="n"/>
    </row>
    <row r="87" ht="23.25" customHeight="1" s="210">
      <c r="C87" s="252" t="n"/>
      <c r="D87" s="249" t="n"/>
      <c r="E87" s="250" t="inlineStr">
        <is>
          <t>Local Spend from grants awarded Annually</t>
        </is>
      </c>
      <c r="F87" s="251" t="n"/>
      <c r="G87" s="251" t="n"/>
      <c r="H87" s="251" t="n"/>
      <c r="I87" s="249" t="n"/>
      <c r="J87" s="251" t="n"/>
      <c r="K87" s="251" t="n"/>
    </row>
    <row r="88" ht="15" customHeight="1" s="210">
      <c r="C88" s="254" t="inlineStr">
        <is>
          <t>Business Support Services</t>
        </is>
      </c>
      <c r="D88" s="249" t="inlineStr">
        <is>
          <t>p40</t>
        </is>
      </c>
      <c r="E88" s="250" t="inlineStr">
        <is>
          <t>Annual URA Income as a rate of growth - broken out individually by URA and total</t>
        </is>
      </c>
      <c r="F88" s="251" t="n"/>
      <c r="G88" s="251" t="n"/>
      <c r="H88" s="251" t="n"/>
      <c r="I88" s="249" t="n"/>
      <c r="J88" s="251" t="n"/>
      <c r="K88" s="251" t="n"/>
    </row>
    <row r="89" ht="15" customHeight="1" s="210">
      <c r="C89" s="253" t="inlineStr">
        <is>
          <t>Destination Marketing and Management (Tourism)</t>
        </is>
      </c>
      <c r="D89" s="249" t="inlineStr">
        <is>
          <t>p43</t>
        </is>
      </c>
      <c r="E89" s="250" t="inlineStr">
        <is>
          <t>Occupancy Rate (Year over Year Quarterly)</t>
        </is>
      </c>
      <c r="F89" s="251" t="n"/>
      <c r="G89" s="251" t="n"/>
      <c r="H89" s="251" t="n"/>
      <c r="I89" s="249" t="n"/>
      <c r="J89" s="251" t="n"/>
      <c r="K89" s="251" t="n"/>
    </row>
    <row r="90" ht="15" customHeight="1" s="210">
      <c r="D90" s="249" t="n"/>
      <c r="E90" s="250" t="inlineStr">
        <is>
          <t>Visitor Spend (Annual Year over Year)</t>
        </is>
      </c>
      <c r="F90" s="251" t="n"/>
      <c r="G90" s="251" t="n"/>
      <c r="H90" s="251" t="n"/>
      <c r="I90" s="249" t="n"/>
      <c r="J90" s="255" t="n"/>
      <c r="K90" s="251" t="n"/>
    </row>
    <row r="91" ht="15" customHeight="1" s="210">
      <c r="D91" s="249" t="n"/>
      <c r="E91" s="250" t="inlineStr">
        <is>
          <t>Total Nights on Tour Sales (annual)</t>
        </is>
      </c>
      <c r="F91" s="251" t="n"/>
      <c r="G91" s="251" t="n"/>
      <c r="H91" s="251" t="n"/>
      <c r="I91" s="249" t="n"/>
      <c r="J91" s="235" t="inlineStr">
        <is>
          <t>Online</t>
        </is>
      </c>
      <c r="K91" s="251" t="n"/>
    </row>
    <row r="92" ht="15" customHeight="1" s="210">
      <c r="B92" s="231" t="n"/>
      <c r="C92" s="252" t="n"/>
      <c r="D92" s="249" t="n"/>
      <c r="E92" s="250" t="inlineStr">
        <is>
          <t>Welcome Center Door Count</t>
        </is>
      </c>
      <c r="F92" s="251" t="n"/>
      <c r="G92" s="251" t="n"/>
      <c r="H92" s="251" t="n"/>
      <c r="I92" s="249" t="n"/>
      <c r="J92" s="251" t="n"/>
      <c r="K92" s="251" t="n"/>
    </row>
    <row r="93" ht="15" customHeight="1" s="210">
      <c r="B93" s="247" t="inlineStr">
        <is>
          <t>Sustainability &amp; Environmental Stewardship (ks10)</t>
        </is>
      </c>
      <c r="C93" s="251" t="inlineStr">
        <is>
          <t>Energy, Climate and Sustainability Programs</t>
        </is>
      </c>
      <c r="D93" s="249" t="inlineStr">
        <is>
          <t>p44</t>
        </is>
      </c>
      <c r="E93" s="250" t="n"/>
      <c r="F93" s="251" t="n"/>
      <c r="G93" s="251" t="n"/>
      <c r="H93" s="251" t="n"/>
      <c r="I93" s="249" t="n"/>
      <c r="J93" s="251" t="n"/>
      <c r="K93" s="251" t="n"/>
    </row>
    <row r="94" ht="15" customHeight="1" s="210">
      <c r="C94" s="251" t="inlineStr">
        <is>
          <t>Waste Reduction (recycling)</t>
        </is>
      </c>
      <c r="D94" s="249" t="inlineStr">
        <is>
          <t>p45</t>
        </is>
      </c>
      <c r="E94" s="250" t="n"/>
      <c r="F94" s="251" t="n"/>
      <c r="G94" s="251" t="n"/>
      <c r="H94" s="251" t="n"/>
      <c r="I94" s="249" t="n"/>
      <c r="J94" s="251" t="n"/>
      <c r="K94" s="251" t="n"/>
    </row>
    <row r="95" ht="15" customHeight="1" s="210">
      <c r="C95" s="251" t="inlineStr">
        <is>
          <t>Water Conservation</t>
        </is>
      </c>
      <c r="D95" s="249" t="inlineStr">
        <is>
          <t>p46</t>
        </is>
      </c>
      <c r="E95" s="250" t="n"/>
      <c r="F95" s="251" t="n"/>
      <c r="G95" s="251" t="n"/>
      <c r="H95" s="251" t="n"/>
      <c r="I95" s="249" t="n"/>
      <c r="J95" s="251" t="n"/>
      <c r="K95" s="251" t="n"/>
    </row>
    <row r="96" ht="15" customHeight="1" s="210">
      <c r="C96" s="251" t="inlineStr">
        <is>
          <t>Urban Forestry</t>
        </is>
      </c>
      <c r="D96" s="249" t="inlineStr">
        <is>
          <t>p47</t>
        </is>
      </c>
      <c r="E96" s="250" t="n"/>
      <c r="F96" s="251" t="n"/>
      <c r="G96" s="251" t="n"/>
      <c r="H96" s="251" t="n"/>
      <c r="I96" s="249" t="n"/>
      <c r="J96" s="251" t="n"/>
      <c r="K96" s="251" t="n"/>
    </row>
    <row r="97" ht="15" customHeight="1" s="210">
      <c r="B97" s="231" t="n"/>
      <c r="C97" s="251" t="inlineStr">
        <is>
          <t>Resilience Planning</t>
        </is>
      </c>
      <c r="D97" s="249" t="inlineStr">
        <is>
          <t>p48</t>
        </is>
      </c>
      <c r="E97" s="250" t="n"/>
      <c r="F97" s="251" t="n"/>
      <c r="G97" s="251" t="n"/>
      <c r="H97" s="251" t="n"/>
      <c r="I97" s="249" t="n"/>
      <c r="J97" s="251" t="n"/>
      <c r="K97" s="251" t="n"/>
    </row>
    <row r="98" ht="15" customHeight="1" s="210">
      <c r="A98" s="256" t="inlineStr">
        <is>
          <t>Public Safety
(ws4)</t>
        </is>
      </c>
      <c r="B98" s="257" t="inlineStr">
        <is>
          <t xml:space="preserve">Public Safety Services (ks11)
Violent/property crime trend
Traffic injury trend 
Fatal crash trend
Response time - segmented into 911 and non emergent response
Call volume - officer initiated vs citizen initiated 
Crime clearance rate - solvability by type. ticket, arrest, transfer out, etc. </t>
        </is>
      </c>
      <c r="C98" s="258" t="inlineStr">
        <is>
          <t>Police Patrol</t>
        </is>
      </c>
      <c r="D98" s="259" t="inlineStr">
        <is>
          <t>p49</t>
        </is>
      </c>
      <c r="E98" s="260" t="inlineStr">
        <is>
          <t>Response Time</t>
        </is>
      </c>
      <c r="F98" s="261" t="n"/>
      <c r="G98" s="261" t="n"/>
      <c r="H98" s="261" t="n"/>
      <c r="I98" s="259" t="n"/>
      <c r="J98" s="261" t="n"/>
      <c r="K98" s="261" t="n"/>
    </row>
    <row r="99" ht="15" customHeight="1" s="210">
      <c r="D99" s="259" t="n"/>
      <c r="E99" s="260" t="inlineStr">
        <is>
          <t xml:space="preserve">Total incidents - officer initiatied/proactivity vs dispatch call for service by incident type? - outcome would be more proactivity. </t>
        </is>
      </c>
      <c r="F99" s="261" t="n"/>
      <c r="G99" s="261" t="n"/>
      <c r="H99" s="261" t="n"/>
      <c r="I99" s="259" t="n"/>
      <c r="J99" s="261" t="n"/>
      <c r="K99" s="261" t="n"/>
    </row>
    <row r="100" ht="15" customHeight="1" s="210">
      <c r="D100" s="259" t="n"/>
      <c r="E100" s="260" t="inlineStr">
        <is>
          <t>Proactive vs reactive time</t>
        </is>
      </c>
      <c r="F100" s="261" t="n"/>
      <c r="G100" s="261" t="n"/>
      <c r="H100" s="261" t="n"/>
      <c r="I100" s="259" t="n"/>
      <c r="J100" s="261" t="n"/>
      <c r="K100" s="261" t="n"/>
    </row>
    <row r="101" ht="15" customHeight="1" s="210">
      <c r="D101" s="259" t="n"/>
      <c r="E101" s="260" t="inlineStr">
        <is>
          <t>Officer initiated activity</t>
        </is>
      </c>
      <c r="F101" s="261" t="n"/>
      <c r="G101" s="261" t="n"/>
      <c r="H101" s="261" t="n"/>
      <c r="I101" s="259" t="n"/>
      <c r="J101" s="261" t="n"/>
      <c r="K101" s="261" t="n"/>
    </row>
    <row r="102" ht="15" customHeight="1" s="210">
      <c r="C102" s="262" t="n"/>
      <c r="D102" s="259" t="n"/>
      <c r="E102" s="260" t="inlineStr">
        <is>
          <t>DUI Arrests</t>
        </is>
      </c>
      <c r="F102" s="261" t="n"/>
      <c r="G102" s="261" t="n"/>
      <c r="H102" s="261" t="n"/>
      <c r="I102" s="259" t="n"/>
      <c r="J102" s="261" t="n"/>
      <c r="K102" s="261" t="n"/>
    </row>
    <row r="103" ht="15" customHeight="1" s="210">
      <c r="C103" s="263" t="inlineStr">
        <is>
          <t>Criminal Investigations</t>
        </is>
      </c>
      <c r="D103" s="259" t="inlineStr">
        <is>
          <t>p50</t>
        </is>
      </c>
      <c r="E103" s="260" t="inlineStr">
        <is>
          <t>Digital forensics processing (internal and external) - includes devices for other agencies</t>
        </is>
      </c>
      <c r="F103" s="261" t="n"/>
      <c r="G103" s="261" t="n"/>
      <c r="H103" s="261" t="n"/>
      <c r="I103" s="259" t="n"/>
      <c r="J103" s="261" t="n"/>
      <c r="K103" s="261" t="n"/>
    </row>
    <row r="104" ht="15" customHeight="1" s="210">
      <c r="D104" s="259" t="n"/>
      <c r="E104" s="260" t="inlineStr">
        <is>
          <t>Case Closure Rate by clearance code (cleared by arrest, inactive, etc.) - solvability percent - amount that ended in arrest vs the rest</t>
        </is>
      </c>
      <c r="F104" s="261" t="n"/>
      <c r="G104" s="261" t="n"/>
      <c r="H104" s="261" t="n"/>
      <c r="I104" s="259" t="n"/>
      <c r="J104" s="261" t="n"/>
      <c r="K104" s="261" t="n"/>
    </row>
    <row r="105" ht="15" customHeight="1" s="210">
      <c r="C105" s="262" t="n"/>
      <c r="D105" s="259" t="n"/>
      <c r="E105" s="260" t="inlineStr">
        <is>
          <t>In custody felony reviews - increase in felony arrests by patrol</t>
        </is>
      </c>
      <c r="F105" s="261" t="n"/>
      <c r="G105" s="261" t="n"/>
      <c r="H105" s="261" t="n"/>
      <c r="I105" s="259" t="n"/>
      <c r="J105" s="261" t="n"/>
      <c r="K105" s="261" t="n"/>
    </row>
    <row r="106" ht="15" customHeight="1" s="210">
      <c r="C106" s="263" t="inlineStr">
        <is>
          <t>911 Emergency Services</t>
        </is>
      </c>
      <c r="D106" s="259" t="inlineStr">
        <is>
          <t>p101</t>
        </is>
      </c>
      <c r="E106" s="260" t="inlineStr">
        <is>
          <t xml:space="preserve">Quality Assurance; </t>
        </is>
      </c>
      <c r="F106" s="261" t="n"/>
      <c r="G106" s="261" t="n"/>
      <c r="H106" s="261" t="n"/>
      <c r="I106" s="259" t="n"/>
      <c r="J106" s="261" t="n"/>
      <c r="K106" s="261" t="n"/>
    </row>
    <row r="107" ht="15" customHeight="1" s="210">
      <c r="D107" s="259" t="n"/>
      <c r="E107" s="260" t="inlineStr">
        <is>
          <t xml:space="preserve">NFPA Drop Times; </t>
        </is>
      </c>
      <c r="F107" s="261" t="n"/>
      <c r="G107" s="261" t="n"/>
      <c r="H107" s="261" t="n"/>
      <c r="I107" s="259" t="n"/>
      <c r="J107" s="261" t="n"/>
      <c r="K107" s="261" t="n"/>
    </row>
    <row r="108" ht="15" customHeight="1" s="210">
      <c r="C108" s="262" t="n"/>
      <c r="D108" s="259" t="n"/>
      <c r="E108" s="260" t="inlineStr">
        <is>
          <t>Complaint Resolution</t>
        </is>
      </c>
      <c r="F108" s="261" t="n"/>
      <c r="G108" s="261" t="n"/>
      <c r="H108" s="261" t="n"/>
      <c r="I108" s="259" t="n"/>
      <c r="J108" s="261" t="n"/>
      <c r="K108" s="261" t="n"/>
    </row>
    <row r="109" ht="15" customHeight="1" s="210">
      <c r="C109" s="263" t="inlineStr">
        <is>
          <t>Administrative Public Safety Services</t>
        </is>
      </c>
      <c r="D109" s="259" t="inlineStr">
        <is>
          <t>p102</t>
        </is>
      </c>
      <c r="E109" s="260" t="inlineStr">
        <is>
          <t>Total Hours each property/records employee was spending per officer</t>
        </is>
      </c>
      <c r="F109" s="261" t="n"/>
      <c r="G109" s="261" t="n"/>
      <c r="H109" s="261" t="n"/>
      <c r="I109" s="259" t="n"/>
      <c r="J109" s="261" t="n"/>
      <c r="K109" s="261" t="n"/>
    </row>
    <row r="110" ht="15" customHeight="1" s="210">
      <c r="D110" s="259" t="n"/>
      <c r="E110" s="260" t="inlineStr">
        <is>
          <t>In custody felony reviews - increase in felony arrests by patrol</t>
        </is>
      </c>
      <c r="F110" s="261" t="n"/>
      <c r="G110" s="261" t="n"/>
      <c r="H110" s="261" t="n"/>
      <c r="I110" s="259" t="n"/>
      <c r="J110" s="261" t="n"/>
      <c r="K110" s="261" t="n"/>
    </row>
    <row r="111" ht="15" customHeight="1" s="210">
      <c r="D111" s="259" t="n"/>
      <c r="E111" s="260" t="inlineStr">
        <is>
          <t>Evidence Processed vs Discovery for DA (ratio)</t>
        </is>
      </c>
      <c r="F111" s="261" t="n"/>
      <c r="G111" s="261" t="n"/>
      <c r="H111" s="261" t="n"/>
      <c r="I111" s="259" t="n"/>
      <c r="J111" s="261" t="n"/>
      <c r="K111" s="261" t="n"/>
    </row>
    <row r="112" ht="15" customHeight="1" s="210">
      <c r="D112" s="259" t="n"/>
      <c r="E112" s="260" t="inlineStr">
        <is>
          <t>Digital forensics processing (internal and external) - includes devices for other agencies</t>
        </is>
      </c>
      <c r="F112" s="261" t="n"/>
      <c r="G112" s="261" t="n"/>
      <c r="H112" s="261" t="n"/>
      <c r="I112" s="259" t="n"/>
      <c r="J112" s="261" t="n"/>
      <c r="K112" s="261" t="n"/>
    </row>
    <row r="113" ht="15" customHeight="1" s="210">
      <c r="D113" s="259" t="n"/>
      <c r="E113" s="260" t="inlineStr">
        <is>
          <t>CORA Requests Processed within specified time frame - PD specific</t>
        </is>
      </c>
      <c r="F113" s="261" t="n"/>
      <c r="G113" s="261" t="n"/>
      <c r="H113" s="261" t="n"/>
      <c r="I113" s="259" t="n"/>
      <c r="J113" s="261" t="n"/>
      <c r="K113" s="261" t="n"/>
    </row>
    <row r="114" ht="15" customHeight="1" s="210">
      <c r="D114" s="259" t="n"/>
      <c r="E114" s="260" t="inlineStr">
        <is>
          <t>Cases/Records Processed trending (can compare to calls for service)</t>
        </is>
      </c>
      <c r="F114" s="261" t="n"/>
      <c r="G114" s="261" t="n"/>
      <c r="H114" s="261" t="n"/>
      <c r="I114" s="259" t="n"/>
      <c r="J114" s="261" t="n"/>
      <c r="K114" s="261" t="n"/>
    </row>
    <row r="115" ht="15" customHeight="1" s="210">
      <c r="D115" s="259" t="n"/>
      <c r="E115" s="260" t="inlineStr">
        <is>
          <t>Case Closure Rate by clearance code (cleared by arrest, inactive, etc.) - solvability percent - amount that ended in arrest vs the rest</t>
        </is>
      </c>
      <c r="F115" s="261" t="n"/>
      <c r="G115" s="261" t="n"/>
      <c r="H115" s="261" t="n"/>
      <c r="I115" s="259" t="n"/>
      <c r="J115" s="261" t="n"/>
      <c r="K115" s="261" t="n"/>
    </row>
    <row r="116" ht="15" customHeight="1" s="210">
      <c r="D116" s="259" t="n"/>
      <c r="E116" s="260" t="inlineStr">
        <is>
          <t>Backgrounds Completed vs people hired</t>
        </is>
      </c>
      <c r="F116" s="261" t="n"/>
      <c r="G116" s="261" t="n"/>
      <c r="H116" s="261" t="n"/>
      <c r="I116" s="259" t="n"/>
      <c r="J116" s="261" t="n"/>
      <c r="K116" s="261" t="n"/>
    </row>
    <row r="117" ht="15" customHeight="1" s="210">
      <c r="C117" s="262" t="n"/>
      <c r="D117" s="259" t="n"/>
      <c r="E117" s="260" t="inlineStr">
        <is>
          <t>Community Satisfaction</t>
        </is>
      </c>
      <c r="F117" s="261" t="n"/>
      <c r="G117" s="261" t="n"/>
      <c r="H117" s="261" t="n"/>
      <c r="I117" s="259" t="n"/>
      <c r="J117" s="261" t="n"/>
      <c r="K117" s="261" t="n"/>
    </row>
    <row r="118" ht="15" customHeight="1" s="210">
      <c r="C118" s="263" t="inlineStr">
        <is>
          <t>Special Operations</t>
        </is>
      </c>
      <c r="D118" s="259" t="inlineStr">
        <is>
          <t>p51</t>
        </is>
      </c>
      <c r="E118" s="260" t="inlineStr">
        <is>
          <t>Wildlife trends by type</t>
        </is>
      </c>
      <c r="F118" s="261" t="n"/>
      <c r="G118" s="261" t="n"/>
      <c r="H118" s="261" t="n"/>
      <c r="I118" s="259" t="n"/>
      <c r="J118" s="261" t="n"/>
      <c r="K118" s="261" t="n"/>
    </row>
    <row r="119" ht="15" customHeight="1" s="210">
      <c r="D119" s="259" t="n"/>
      <c r="E119" s="260" t="inlineStr">
        <is>
          <t>Complaints (dog off leash in certain parks, ART, e-bikes, etc.)</t>
        </is>
      </c>
      <c r="F119" s="261" t="n"/>
      <c r="G119" s="261" t="n"/>
      <c r="H119" s="261" t="n"/>
      <c r="I119" s="259" t="n"/>
      <c r="J119" s="261" t="n"/>
      <c r="K119" s="261" t="n"/>
    </row>
    <row r="120" ht="15" customHeight="1" s="210">
      <c r="D120" s="259" t="n"/>
      <c r="E120" s="260" t="inlineStr">
        <is>
          <t>Citations Issued by kind (brings down number of incidents, traffic accidents, etc.)</t>
        </is>
      </c>
      <c r="F120" s="261" t="n"/>
      <c r="G120" s="261" t="n"/>
      <c r="H120" s="261" t="n"/>
      <c r="I120" s="259" t="n"/>
      <c r="J120" s="261" t="n"/>
      <c r="K120" s="261" t="n"/>
    </row>
    <row r="121" ht="15" customHeight="1" s="210">
      <c r="D121" s="259" t="n"/>
      <c r="E121" s="260" t="inlineStr">
        <is>
          <t>Trends in complaints vs historical (code enforcement)</t>
        </is>
      </c>
      <c r="F121" s="261" t="n"/>
      <c r="G121" s="261" t="n"/>
      <c r="H121" s="261" t="n"/>
      <c r="I121" s="259" t="n"/>
      <c r="J121" s="261" t="n"/>
      <c r="K121" s="261" t="n"/>
    </row>
    <row r="122" ht="15" customHeight="1" s="210">
      <c r="D122" s="259" t="n"/>
      <c r="E122" s="260" t="inlineStr">
        <is>
          <t>Total cases (CORE)</t>
        </is>
      </c>
      <c r="F122" s="261" t="n"/>
      <c r="G122" s="261" t="n"/>
      <c r="H122" s="261" t="n"/>
      <c r="I122" s="259" t="n"/>
      <c r="J122" s="261" t="n"/>
      <c r="K122" s="261" t="n"/>
    </row>
    <row r="123" ht="15" customHeight="1" s="210">
      <c r="C123" s="262" t="n"/>
      <c r="D123" s="259" t="n"/>
      <c r="E123" s="260" t="inlineStr">
        <is>
          <t>Time to view case for Safe to Tell (could segment by type or solvability) - criminal vs school administrative issue</t>
        </is>
      </c>
      <c r="F123" s="261" t="n"/>
      <c r="G123" s="261" t="n"/>
      <c r="H123" s="261" t="n"/>
      <c r="I123" s="259" t="n"/>
      <c r="J123" s="261" t="n"/>
      <c r="K123" s="261" t="n"/>
    </row>
    <row r="124" ht="27.75" customHeight="1" s="210">
      <c r="C124" s="263" t="inlineStr">
        <is>
          <t>Public Safety Technology NG (NextGen) 911 Technologies</t>
        </is>
      </c>
      <c r="D124" s="259" t="inlineStr">
        <is>
          <t>p104</t>
        </is>
      </c>
      <c r="E124" s="260" t="inlineStr">
        <is>
          <t>Drone as first responder</t>
        </is>
      </c>
      <c r="F124" s="261" t="n"/>
      <c r="G124" s="261" t="n"/>
      <c r="H124" s="261" t="n"/>
      <c r="I124" s="259" t="n"/>
      <c r="J124" s="261" t="n"/>
      <c r="K124" s="261" t="n"/>
    </row>
    <row r="125" ht="15" customHeight="1" s="210">
      <c r="C125" s="262" t="n"/>
      <c r="D125" s="259" t="n"/>
      <c r="E125" s="260" t="inlineStr">
        <is>
          <t>Response time</t>
        </is>
      </c>
      <c r="F125" s="261" t="n"/>
      <c r="G125" s="261" t="n"/>
      <c r="H125" s="261" t="n"/>
      <c r="I125" s="259" t="n"/>
      <c r="J125" s="261" t="n"/>
      <c r="K125" s="261" t="n"/>
    </row>
    <row r="126" ht="15" customHeight="1" s="210">
      <c r="B126" s="231" t="n"/>
      <c r="C126" s="261" t="inlineStr">
        <is>
          <t>ARFF</t>
        </is>
      </c>
      <c r="D126" s="259" t="inlineStr">
        <is>
          <t>p54</t>
        </is>
      </c>
      <c r="E126" s="260" t="n"/>
      <c r="F126" s="261" t="n"/>
      <c r="G126" s="261" t="n"/>
      <c r="H126" s="261" t="n"/>
      <c r="I126" s="259" t="n"/>
      <c r="J126" s="264" t="n"/>
      <c r="K126" s="264" t="n"/>
    </row>
    <row r="127" ht="15" customHeight="1" s="210">
      <c r="B127" s="257" t="inlineStr">
        <is>
          <t>Municipal Court (ks12)
Number of specialty court cases resolved through graduating</t>
        </is>
      </c>
      <c r="C127" s="263" t="inlineStr">
        <is>
          <t>Municipal Court Administration</t>
        </is>
      </c>
      <c r="D127" s="259" t="inlineStr">
        <is>
          <t>p55</t>
        </is>
      </c>
      <c r="E127" s="260" t="inlineStr">
        <is>
          <t>Traffic Court number of cases</t>
        </is>
      </c>
      <c r="F127" s="261" t="n"/>
      <c r="G127" s="261" t="n"/>
      <c r="H127" s="261" t="n"/>
      <c r="I127" s="259" t="n"/>
      <c r="J127" s="261" t="n"/>
      <c r="K127" s="261" t="n"/>
    </row>
    <row r="128" ht="15" customHeight="1" s="210">
      <c r="D128" s="259" t="n"/>
      <c r="E128" s="260" t="inlineStr">
        <is>
          <t>Juvenile Court number of cases</t>
        </is>
      </c>
      <c r="F128" s="261" t="n"/>
      <c r="G128" s="261" t="n"/>
      <c r="H128" s="261" t="n"/>
      <c r="I128" s="259" t="n"/>
      <c r="J128" s="261" t="n"/>
      <c r="K128" s="261" t="n"/>
    </row>
    <row r="129" ht="15" customHeight="1" s="210">
      <c r="C129" s="262" t="n"/>
      <c r="D129" s="259" t="n"/>
      <c r="E129" s="260" t="inlineStr">
        <is>
          <t>Criminal Court number of cases</t>
        </is>
      </c>
      <c r="F129" s="261" t="n"/>
      <c r="G129" s="261" t="n"/>
      <c r="H129" s="261" t="n"/>
      <c r="I129" s="259" t="n"/>
      <c r="J129" s="261" t="n"/>
      <c r="K129" s="261" t="n"/>
    </row>
    <row r="130" ht="15" customHeight="1" s="210">
      <c r="C130" s="261" t="inlineStr">
        <is>
          <t>Specialty Court</t>
        </is>
      </c>
      <c r="D130" s="259" t="inlineStr">
        <is>
          <t>p58</t>
        </is>
      </c>
      <c r="E130" s="260" t="inlineStr">
        <is>
          <t>Number of specialty court cases resolved through graduating</t>
        </is>
      </c>
      <c r="F130" s="261" t="n"/>
      <c r="G130" s="261" t="n"/>
      <c r="H130" s="261" t="n"/>
      <c r="I130" s="259" t="n"/>
      <c r="J130" s="261" t="n"/>
      <c r="K130" s="261" t="n"/>
    </row>
    <row r="131" ht="15" customHeight="1" s="210">
      <c r="B131" s="231" t="n"/>
      <c r="C131" s="261" t="inlineStr">
        <is>
          <t>Prosecutor Success</t>
        </is>
      </c>
      <c r="D131" s="259" t="inlineStr">
        <is>
          <t>p60</t>
        </is>
      </c>
      <c r="E131" s="260" t="n"/>
      <c r="F131" s="261" t="n"/>
      <c r="G131" s="261" t="n"/>
      <c r="H131" s="261" t="n"/>
      <c r="I131" s="259" t="n"/>
      <c r="J131" s="264" t="n"/>
      <c r="K131" s="264" t="n"/>
    </row>
    <row r="132" ht="15" customHeight="1" s="210">
      <c r="A132" s="265" t="inlineStr">
        <is>
          <t>Infrastructure
(ws5)</t>
        </is>
      </c>
      <c r="B132" s="266" t="inlineStr">
        <is>
          <t>Public Works &amp; Municipal Services (ks13)</t>
        </is>
      </c>
      <c r="C132" s="267" t="inlineStr">
        <is>
          <t>Streets &amp; Traffic Operations</t>
        </is>
      </c>
      <c r="D132" s="268" t="inlineStr">
        <is>
          <t>p61</t>
        </is>
      </c>
      <c r="E132" s="269" t="n"/>
      <c r="F132" s="267" t="n"/>
      <c r="G132" s="267" t="n"/>
      <c r="H132" s="267" t="n"/>
      <c r="I132" s="268" t="n"/>
      <c r="J132" s="267" t="n"/>
      <c r="K132" s="267" t="n"/>
    </row>
    <row r="133" ht="15" customHeight="1" s="210">
      <c r="C133" s="267" t="inlineStr">
        <is>
          <t>Stormwater</t>
        </is>
      </c>
      <c r="D133" s="268" t="inlineStr">
        <is>
          <t>p62</t>
        </is>
      </c>
      <c r="E133" s="269" t="n"/>
      <c r="F133" s="267" t="n"/>
      <c r="G133" s="267" t="n"/>
      <c r="H133" s="267" t="n"/>
      <c r="I133" s="268" t="n"/>
      <c r="J133" s="267" t="n"/>
      <c r="K133" s="267" t="n"/>
    </row>
    <row r="134" ht="15" customHeight="1" s="210">
      <c r="C134" s="267" t="inlineStr">
        <is>
          <t>Fleet Management</t>
        </is>
      </c>
      <c r="D134" s="268" t="inlineStr">
        <is>
          <t>p63</t>
        </is>
      </c>
      <c r="E134" s="269" t="n"/>
      <c r="F134" s="267" t="n"/>
      <c r="G134" s="267" t="n"/>
      <c r="H134" s="267" t="n"/>
      <c r="I134" s="268" t="n"/>
      <c r="J134" s="267" t="n"/>
      <c r="K134" s="267" t="n"/>
    </row>
    <row r="135" ht="15" customHeight="1" s="210">
      <c r="C135" s="267" t="inlineStr">
        <is>
          <t>Facilities Maintenance</t>
        </is>
      </c>
      <c r="D135" s="268" t="inlineStr">
        <is>
          <t>p64</t>
        </is>
      </c>
      <c r="E135" s="269" t="n"/>
      <c r="F135" s="267" t="n"/>
      <c r="G135" s="267" t="n"/>
      <c r="H135" s="267" t="n"/>
      <c r="I135" s="268" t="n"/>
      <c r="J135" s="267" t="n"/>
      <c r="K135" s="267" t="n"/>
    </row>
    <row r="136" ht="15" customHeight="1" s="210">
      <c r="C136" s="267" t="inlineStr">
        <is>
          <t>Solid Waste</t>
        </is>
      </c>
      <c r="D136" s="268" t="inlineStr">
        <is>
          <t>p65</t>
        </is>
      </c>
      <c r="E136" s="269" t="n"/>
      <c r="F136" s="267" t="n"/>
      <c r="G136" s="267" t="n"/>
      <c r="H136" s="267" t="n"/>
      <c r="I136" s="268" t="n"/>
      <c r="J136" s="267" t="n"/>
      <c r="K136" s="267" t="n"/>
    </row>
    <row r="137" ht="15" customHeight="1" s="210">
      <c r="C137" s="267" t="inlineStr">
        <is>
          <t>Water Utility</t>
        </is>
      </c>
      <c r="D137" s="268" t="inlineStr">
        <is>
          <t>p66</t>
        </is>
      </c>
      <c r="E137" s="269" t="n"/>
      <c r="F137" s="267" t="n"/>
      <c r="G137" s="267" t="n"/>
      <c r="H137" s="267" t="n"/>
      <c r="I137" s="268" t="n"/>
      <c r="J137" s="267" t="n"/>
      <c r="K137" s="267" t="n"/>
    </row>
    <row r="138" ht="15" customHeight="1" s="210">
      <c r="C138" s="267" t="inlineStr">
        <is>
          <t>Wastewater Utility</t>
        </is>
      </c>
      <c r="D138" s="268" t="inlineStr">
        <is>
          <t>p106</t>
        </is>
      </c>
      <c r="E138" s="269" t="n"/>
      <c r="F138" s="267" t="n"/>
      <c r="G138" s="267" t="n"/>
      <c r="H138" s="267" t="n"/>
      <c r="I138" s="268" t="n"/>
      <c r="J138" s="267" t="n"/>
      <c r="K138" s="267" t="n"/>
    </row>
    <row r="139" ht="15" customHeight="1" s="210">
      <c r="C139" s="267" t="inlineStr">
        <is>
          <t>Asset Management</t>
        </is>
      </c>
      <c r="D139" s="268" t="inlineStr">
        <is>
          <t>p67</t>
        </is>
      </c>
      <c r="E139" s="269" t="n"/>
      <c r="F139" s="267" t="n"/>
      <c r="G139" s="267" t="n"/>
      <c r="H139" s="267" t="n"/>
      <c r="I139" s="268" t="n"/>
      <c r="J139" s="267" t="n"/>
      <c r="K139" s="267" t="n"/>
    </row>
    <row r="140" ht="15" customHeight="1" s="210">
      <c r="B140" s="231" t="n"/>
      <c r="C140" s="267" t="inlineStr">
        <is>
          <t>Capital Improvement Projects</t>
        </is>
      </c>
      <c r="D140" s="268" t="inlineStr">
        <is>
          <t>p68</t>
        </is>
      </c>
      <c r="E140" s="269" t="n"/>
      <c r="F140" s="267" t="n"/>
      <c r="G140" s="267" t="n"/>
      <c r="H140" s="267" t="n"/>
      <c r="I140" s="268" t="n"/>
      <c r="J140" s="267" t="n"/>
      <c r="K140" s="267" t="n"/>
    </row>
    <row r="141" ht="15" customHeight="1" s="210">
      <c r="B141" s="266" t="inlineStr">
        <is>
          <t xml:space="preserve">Transit Services (ks14)
Total Transit Ridership (fixed, para, and micro)
Transit Rider Dependency/ Choice Rider
Vacancy Rate and Occupancy Rate
</t>
        </is>
      </c>
      <c r="C141" s="270" t="inlineStr">
        <is>
          <t>Fixed-Route Service</t>
        </is>
      </c>
      <c r="D141" s="268" t="inlineStr">
        <is>
          <t>p69</t>
        </is>
      </c>
      <c r="E141" s="269" t="inlineStr">
        <is>
          <t>Ridership (segmented by route)</t>
        </is>
      </c>
      <c r="F141" s="267" t="n"/>
      <c r="G141" s="267" t="n"/>
      <c r="H141" s="267" t="n"/>
      <c r="I141" s="268" t="n"/>
      <c r="J141" s="267" t="n"/>
      <c r="K141" s="267" t="n"/>
    </row>
    <row r="142" ht="15" customHeight="1" s="210">
      <c r="D142" s="268" t="n"/>
      <c r="E142" s="269" t="inlineStr">
        <is>
          <t>Customer Satisfaction Ridership Survey</t>
        </is>
      </c>
      <c r="F142" s="267" t="n"/>
      <c r="G142" s="267" t="n"/>
      <c r="H142" s="267" t="n"/>
      <c r="I142" s="268" t="n"/>
      <c r="J142" s="267" t="n"/>
      <c r="K142" s="267" t="n"/>
    </row>
    <row r="143" ht="15" customHeight="1" s="210">
      <c r="C143" s="271" t="n"/>
      <c r="D143" s="268" t="n"/>
      <c r="E143" s="269" t="inlineStr">
        <is>
          <t>Vehicle Mileage and hours total alongside cost</t>
        </is>
      </c>
      <c r="F143" s="267" t="n"/>
      <c r="G143" s="267" t="n"/>
      <c r="H143" s="267" t="n"/>
      <c r="I143" s="268" t="n"/>
      <c r="J143" s="267" t="n"/>
      <c r="K143" s="267" t="n"/>
    </row>
    <row r="144" ht="15" customHeight="1" s="210">
      <c r="C144" s="267" t="inlineStr">
        <is>
          <t>Paratransit</t>
        </is>
      </c>
      <c r="D144" s="268" t="inlineStr">
        <is>
          <t>p70</t>
        </is>
      </c>
      <c r="E144" s="269" t="inlineStr">
        <is>
          <t>Trips Delivered / Ridership by Type</t>
        </is>
      </c>
      <c r="F144" s="269" t="n"/>
      <c r="G144" s="269" t="n"/>
      <c r="H144" s="269" t="n"/>
      <c r="I144" s="268" t="n"/>
      <c r="J144" s="267" t="n"/>
      <c r="K144" s="267" t="n"/>
    </row>
    <row r="145" ht="15" customHeight="1" s="210">
      <c r="C145" s="270" t="inlineStr">
        <is>
          <t>Multimodal Programs</t>
        </is>
      </c>
      <c r="D145" s="268" t="inlineStr">
        <is>
          <t>p71</t>
        </is>
      </c>
      <c r="E145" s="269" t="inlineStr">
        <is>
          <t>Bi-annual bike and pedestrian counts</t>
        </is>
      </c>
      <c r="F145" s="267" t="n"/>
      <c r="G145" s="267" t="n"/>
      <c r="H145" s="267" t="n"/>
      <c r="I145" s="268" t="n"/>
      <c r="J145" s="267" t="n"/>
      <c r="K145" s="267" t="n"/>
    </row>
    <row r="146" ht="15" customHeight="1" s="210">
      <c r="D146" s="268" t="n"/>
      <c r="E146" s="269" t="inlineStr">
        <is>
          <t>Crash data</t>
        </is>
      </c>
      <c r="F146" s="267" t="n"/>
      <c r="G146" s="267" t="n"/>
      <c r="H146" s="267" t="n"/>
      <c r="I146" s="268" t="n"/>
      <c r="J146" s="267" t="n"/>
      <c r="K146" s="267" t="n"/>
    </row>
    <row r="147" ht="15" customHeight="1" s="210">
      <c r="C147" s="271" t="n"/>
      <c r="D147" s="268" t="n"/>
      <c r="E147" s="269" t="inlineStr">
        <is>
          <t>Linear feet/miles of bike lanes and sidewalks by road classification</t>
        </is>
      </c>
      <c r="F147" s="267" t="n"/>
      <c r="G147" s="267" t="n"/>
      <c r="H147" s="267" t="n"/>
      <c r="I147" s="268" t="n"/>
      <c r="J147" s="267" t="n"/>
      <c r="K147" s="267" t="n"/>
    </row>
    <row r="148" ht="15" customHeight="1" s="210">
      <c r="C148" s="270" t="inlineStr">
        <is>
          <t>Microtransit</t>
        </is>
      </c>
      <c r="D148" s="268" t="inlineStr">
        <is>
          <t>p72</t>
        </is>
      </c>
      <c r="E148" s="269" t="inlineStr">
        <is>
          <t>met demand</t>
        </is>
      </c>
      <c r="F148" s="267" t="n"/>
      <c r="G148" s="267" t="n"/>
      <c r="H148" s="267" t="n"/>
      <c r="I148" s="268" t="n"/>
      <c r="J148" s="267" t="n"/>
      <c r="K148" s="267" t="n"/>
    </row>
    <row r="149" ht="15" customHeight="1" s="210">
      <c r="C149" s="271" t="n"/>
      <c r="D149" s="268" t="n"/>
      <c r="E149" s="269" t="inlineStr">
        <is>
          <t>Destination and Origin</t>
        </is>
      </c>
      <c r="F149" s="267" t="n"/>
      <c r="G149" s="267" t="n"/>
      <c r="H149" s="267" t="n"/>
      <c r="I149" s="268" t="n"/>
      <c r="J149" s="267" t="n"/>
      <c r="K149" s="267" t="n"/>
    </row>
    <row r="150" ht="15" customHeight="1" s="210">
      <c r="C150" s="267" t="inlineStr">
        <is>
          <t>Transit Planning</t>
        </is>
      </c>
      <c r="D150" s="268" t="inlineStr">
        <is>
          <t>p73</t>
        </is>
      </c>
      <c r="E150" s="269" t="inlineStr">
        <is>
          <t>Transit Dependency</t>
        </is>
      </c>
      <c r="F150" s="267" t="n"/>
      <c r="G150" s="267" t="n"/>
      <c r="H150" s="267" t="n"/>
      <c r="I150" s="268" t="n"/>
      <c r="J150" s="267" t="n"/>
      <c r="K150" s="267" t="n"/>
    </row>
    <row r="151" ht="15" customHeight="1" s="210">
      <c r="C151" s="270" t="inlineStr">
        <is>
          <t>Fare Administration</t>
        </is>
      </c>
      <c r="D151" s="268" t="inlineStr">
        <is>
          <t>p74</t>
        </is>
      </c>
      <c r="E151" s="269" t="inlineStr">
        <is>
          <t>Pass type</t>
        </is>
      </c>
      <c r="F151" s="267" t="n"/>
      <c r="G151" s="267" t="n"/>
      <c r="H151" s="267" t="n"/>
      <c r="I151" s="268" t="n"/>
      <c r="J151" s="267" t="n"/>
      <c r="K151" s="267" t="n"/>
    </row>
    <row r="152" ht="15" customHeight="1" s="210">
      <c r="C152" s="271" t="n"/>
      <c r="D152" s="268" t="n"/>
      <c r="E152" s="269" t="inlineStr">
        <is>
          <t>Farebox Revenue</t>
        </is>
      </c>
      <c r="F152" s="267" t="n"/>
      <c r="G152" s="267" t="n"/>
      <c r="H152" s="267" t="n"/>
      <c r="I152" s="268" t="n"/>
      <c r="J152" s="267" t="n"/>
      <c r="K152" s="267" t="n"/>
    </row>
    <row r="153" ht="15" customHeight="1" s="210">
      <c r="C153" s="270" t="inlineStr">
        <is>
          <t>Parking Management</t>
        </is>
      </c>
      <c r="D153" s="268" t="inlineStr">
        <is>
          <t>p75</t>
        </is>
      </c>
      <c r="E153" s="269" t="inlineStr">
        <is>
          <t>Vacany rate data collection</t>
        </is>
      </c>
      <c r="F153" s="267" t="n"/>
      <c r="G153" s="267" t="n"/>
      <c r="H153" s="267" t="n"/>
      <c r="I153" s="268" t="n"/>
      <c r="J153" s="267" t="n"/>
      <c r="K153" s="267" t="n"/>
    </row>
    <row r="154" ht="15" customHeight="1" s="210">
      <c r="D154" s="268" t="n"/>
      <c r="E154" s="269" t="inlineStr">
        <is>
          <t>Parking compliance count for the central business district</t>
        </is>
      </c>
      <c r="F154" s="267" t="n"/>
      <c r="G154" s="267" t="n"/>
      <c r="H154" s="267" t="n"/>
      <c r="I154" s="268" t="n"/>
      <c r="J154" s="267" t="n"/>
      <c r="K154" s="267" t="n"/>
    </row>
    <row r="155" ht="15" customHeight="1" s="210">
      <c r="D155" s="268" t="n"/>
      <c r="E155" s="269" t="inlineStr">
        <is>
          <t>Reasons for citations closure</t>
        </is>
      </c>
      <c r="F155" s="267" t="n"/>
      <c r="G155" s="267" t="n"/>
      <c r="H155" s="267" t="n"/>
      <c r="I155" s="268" t="n"/>
      <c r="J155" s="267" t="n"/>
      <c r="K155" s="267" t="n"/>
    </row>
    <row r="156" ht="15" customHeight="1" s="210">
      <c r="B156" s="231" t="n"/>
      <c r="C156" s="271" t="n"/>
      <c r="D156" s="268" t="n"/>
      <c r="E156" s="269" t="inlineStr">
        <is>
          <t>Citation payment rate</t>
        </is>
      </c>
      <c r="F156" s="267" t="n"/>
      <c r="G156" s="267" t="n"/>
      <c r="H156" s="267" t="n"/>
      <c r="I156" s="268" t="n"/>
      <c r="J156" s="267" t="n"/>
      <c r="K156" s="267" t="n"/>
    </row>
    <row r="157" ht="15" customHeight="1" s="210">
      <c r="B157" s="266" t="inlineStr">
        <is>
          <t>Asset Management (ks15)</t>
        </is>
      </c>
      <c r="C157" s="267" t="inlineStr">
        <is>
          <t>Fleet &amp; Facility Management</t>
        </is>
      </c>
      <c r="D157" s="268" t="inlineStr">
        <is>
          <t>p76</t>
        </is>
      </c>
      <c r="E157" s="269" t="n"/>
      <c r="F157" s="267" t="n"/>
      <c r="G157" s="267" t="n"/>
      <c r="H157" s="267" t="n"/>
      <c r="I157" s="268" t="n"/>
      <c r="J157" s="267" t="n"/>
      <c r="K157" s="267" t="n"/>
    </row>
    <row r="158" ht="15" customHeight="1" s="210">
      <c r="C158" s="267" t="inlineStr">
        <is>
          <t>Inventory Management</t>
        </is>
      </c>
      <c r="D158" s="268" t="inlineStr">
        <is>
          <t>p107</t>
        </is>
      </c>
      <c r="E158" s="269" t="n"/>
      <c r="F158" s="267" t="n"/>
      <c r="G158" s="267" t="n"/>
      <c r="H158" s="267" t="n"/>
      <c r="I158" s="268" t="n"/>
      <c r="J158" s="272" t="n"/>
      <c r="K158" s="272" t="n"/>
    </row>
    <row r="159" ht="15" customHeight="1" s="210">
      <c r="C159" s="267" t="inlineStr">
        <is>
          <t>Asset Lifecycle Management</t>
        </is>
      </c>
      <c r="D159" s="268" t="inlineStr">
        <is>
          <t>p108</t>
        </is>
      </c>
      <c r="E159" s="269" t="inlineStr">
        <is>
          <t>PC and Desktops Replaced within lifecycle</t>
        </is>
      </c>
      <c r="F159" s="267" t="n"/>
      <c r="G159" s="267" t="n"/>
      <c r="H159" s="267" t="n"/>
      <c r="I159" s="268" t="n"/>
      <c r="J159" s="267" t="n"/>
      <c r="K159" s="267" t="n"/>
    </row>
    <row r="160" ht="15" customHeight="1" s="210">
      <c r="C160" s="267" t="inlineStr">
        <is>
          <t>Network Equipment</t>
        </is>
      </c>
      <c r="D160" s="268" t="inlineStr">
        <is>
          <t>p109</t>
        </is>
      </c>
      <c r="E160" s="269" t="n"/>
      <c r="F160" s="267" t="n"/>
      <c r="G160" s="267" t="n"/>
      <c r="H160" s="267" t="n"/>
      <c r="I160" s="268" t="n"/>
      <c r="J160" s="267" t="n"/>
      <c r="K160" s="267" t="n"/>
    </row>
    <row r="161" ht="15" customHeight="1" s="210">
      <c r="C161" s="267" t="inlineStr">
        <is>
          <t>End User Devices</t>
        </is>
      </c>
      <c r="D161" s="268" t="inlineStr">
        <is>
          <t>p110</t>
        </is>
      </c>
      <c r="E161" s="269" t="n"/>
      <c r="F161" s="267" t="n"/>
      <c r="G161" s="267" t="n"/>
      <c r="H161" s="267" t="n"/>
      <c r="I161" s="268" t="n"/>
      <c r="J161" s="267" t="n"/>
      <c r="K161" s="267" t="n"/>
    </row>
    <row r="162" ht="15" customHeight="1" s="210">
      <c r="C162" s="267" t="inlineStr">
        <is>
          <t>IT Fiber Network and Servers</t>
        </is>
      </c>
      <c r="D162" s="268" t="inlineStr">
        <is>
          <t>p77</t>
        </is>
      </c>
      <c r="E162" s="269" t="n"/>
      <c r="F162" s="267" t="n"/>
      <c r="G162" s="267" t="n"/>
      <c r="H162" s="267" t="n"/>
      <c r="I162" s="268" t="n"/>
      <c r="J162" s="267" t="n"/>
      <c r="K162" s="267" t="n"/>
    </row>
    <row r="163" ht="15" customHeight="1" s="210">
      <c r="C163" s="267" t="inlineStr">
        <is>
          <t>Streets, Water / Wastewater Systems</t>
        </is>
      </c>
      <c r="D163" s="268" t="inlineStr">
        <is>
          <t>p122</t>
        </is>
      </c>
      <c r="E163" s="269" t="n"/>
      <c r="F163" s="267" t="n"/>
      <c r="G163" s="267" t="n"/>
      <c r="H163" s="267" t="n"/>
      <c r="I163" s="268" t="n"/>
      <c r="J163" s="272" t="n"/>
      <c r="K163" s="272" t="n"/>
    </row>
    <row r="164" ht="15" customHeight="1" s="210">
      <c r="C164" s="267" t="inlineStr">
        <is>
          <t>Parks &amp; Recreation Assets</t>
        </is>
      </c>
      <c r="D164" s="268" t="inlineStr">
        <is>
          <t>p111</t>
        </is>
      </c>
      <c r="E164" s="269" t="n"/>
      <c r="F164" s="267" t="n"/>
      <c r="G164" s="267" t="n"/>
      <c r="H164" s="267" t="n"/>
      <c r="I164" s="268" t="n"/>
      <c r="J164" s="267" t="n"/>
      <c r="K164" s="267" t="n"/>
    </row>
    <row r="165" ht="15" customHeight="1" s="210">
      <c r="C165" s="267" t="inlineStr">
        <is>
          <t>Streets Systems</t>
        </is>
      </c>
      <c r="D165" s="268" t="inlineStr">
        <is>
          <t>p78</t>
        </is>
      </c>
      <c r="E165" s="269" t="n"/>
      <c r="F165" s="267" t="n"/>
      <c r="G165" s="267" t="n"/>
      <c r="H165" s="267" t="n"/>
      <c r="I165" s="268" t="n"/>
      <c r="J165" s="267" t="n"/>
      <c r="K165" s="267" t="n"/>
    </row>
    <row r="166" ht="15" customHeight="1" s="210">
      <c r="C166" s="267" t="inlineStr">
        <is>
          <t>Water Systems</t>
        </is>
      </c>
      <c r="D166" s="268" t="inlineStr">
        <is>
          <t>p79</t>
        </is>
      </c>
      <c r="E166" s="269" t="n"/>
      <c r="F166" s="267" t="n"/>
      <c r="G166" s="267" t="n"/>
      <c r="H166" s="267" t="n"/>
      <c r="I166" s="268" t="n"/>
      <c r="J166" s="267" t="n"/>
      <c r="K166" s="267" t="n"/>
    </row>
    <row r="167" ht="15" customHeight="1" s="210">
      <c r="B167" s="231" t="n"/>
      <c r="C167" s="267" t="inlineStr">
        <is>
          <t>Wastewater Systems</t>
        </is>
      </c>
      <c r="D167" s="268" t="inlineStr">
        <is>
          <t>p112</t>
        </is>
      </c>
      <c r="E167" s="269" t="n"/>
      <c r="F167" s="267" t="n"/>
      <c r="G167" s="267" t="n"/>
      <c r="H167" s="267" t="n"/>
      <c r="I167" s="268" t="n"/>
      <c r="J167" s="267" t="n"/>
      <c r="K167" s="267" t="n"/>
    </row>
    <row r="168" ht="15" customHeight="1" s="210">
      <c r="B168" s="266" t="inlineStr">
        <is>
          <t>Airport Operations (ks16)</t>
        </is>
      </c>
      <c r="C168" s="267" t="inlineStr">
        <is>
          <t>Airfield &amp; Terminal Operations</t>
        </is>
      </c>
      <c r="D168" s="268" t="inlineStr">
        <is>
          <t>p80</t>
        </is>
      </c>
      <c r="E168" s="269" t="n"/>
      <c r="F168" s="267" t="n"/>
      <c r="G168" s="267" t="n"/>
      <c r="H168" s="267" t="n"/>
      <c r="I168" s="268" t="n"/>
      <c r="J168" s="267" t="n"/>
      <c r="K168" s="267" t="n"/>
    </row>
    <row r="169" ht="15" customHeight="1" s="210">
      <c r="C169" s="267" t="inlineStr">
        <is>
          <t>Aviation Services</t>
        </is>
      </c>
      <c r="D169" s="268" t="inlineStr">
        <is>
          <t>p81</t>
        </is>
      </c>
      <c r="E169" s="269" t="n"/>
      <c r="F169" s="267" t="n"/>
      <c r="G169" s="267" t="n"/>
      <c r="H169" s="267" t="n"/>
      <c r="I169" s="268" t="n"/>
      <c r="J169" s="267" t="n"/>
      <c r="K169" s="267" t="n"/>
    </row>
    <row r="170" ht="15" customHeight="1" s="210">
      <c r="C170" s="267" t="inlineStr">
        <is>
          <t>Airfield Service</t>
        </is>
      </c>
      <c r="D170" s="268" t="inlineStr">
        <is>
          <t>p123</t>
        </is>
      </c>
      <c r="E170" s="269" t="n"/>
      <c r="F170" s="267" t="n"/>
      <c r="G170" s="267" t="n"/>
      <c r="H170" s="267" t="n"/>
      <c r="I170" s="268" t="n"/>
      <c r="J170" s="272" t="n"/>
      <c r="K170" s="272" t="n"/>
    </row>
    <row r="171" ht="15" customHeight="1" s="210">
      <c r="B171" s="231" t="n"/>
      <c r="C171" s="267" t="inlineStr">
        <is>
          <t>Terminal and Landside Service</t>
        </is>
      </c>
      <c r="D171" s="268" t="inlineStr">
        <is>
          <t>p124</t>
        </is>
      </c>
      <c r="E171" s="269" t="n"/>
      <c r="F171" s="267" t="n"/>
      <c r="G171" s="267" t="n"/>
      <c r="H171" s="267" t="n"/>
      <c r="I171" s="268" t="n"/>
      <c r="J171" s="272" t="n"/>
      <c r="K171" s="272" t="n"/>
    </row>
    <row r="172" ht="15" customHeight="1" s="210">
      <c r="A172" s="273" t="inlineStr">
        <is>
          <t>Parks, Recreation &amp; Cultural Services
(ws6)</t>
        </is>
      </c>
      <c r="B172" s="274" t="inlineStr">
        <is>
          <t>Library &amp; Learning Services (ks17)
Visitation
Circulation</t>
        </is>
      </c>
      <c r="C172" s="275" t="inlineStr">
        <is>
          <t>Library Collections &amp; Resources</t>
        </is>
      </c>
      <c r="D172" s="276" t="inlineStr">
        <is>
          <t>p82</t>
        </is>
      </c>
      <c r="E172" s="277" t="inlineStr">
        <is>
          <t>Total circulation (physical and digital)</t>
        </is>
      </c>
      <c r="F172" s="275" t="n"/>
      <c r="G172" s="275" t="n"/>
      <c r="H172" s="275" t="n"/>
      <c r="I172" s="276" t="n"/>
      <c r="J172" s="275" t="n"/>
      <c r="K172" s="275" t="n"/>
    </row>
    <row r="173" ht="15" customHeight="1" s="210">
      <c r="C173" s="278" t="inlineStr">
        <is>
          <t>Library Space Utilization</t>
        </is>
      </c>
      <c r="D173" s="276" t="inlineStr">
        <is>
          <t>p83</t>
        </is>
      </c>
      <c r="E173" s="277" t="inlineStr">
        <is>
          <t>Visitation</t>
        </is>
      </c>
      <c r="F173" s="275" t="n"/>
      <c r="G173" s="275" t="n"/>
      <c r="H173" s="275" t="n"/>
      <c r="I173" s="276" t="n"/>
      <c r="J173" s="275" t="n"/>
      <c r="K173" s="275" t="n"/>
    </row>
    <row r="174" ht="15" customHeight="1" s="210">
      <c r="D174" s="276" t="n"/>
      <c r="E174" s="277" t="inlineStr">
        <is>
          <t>Program room rentals</t>
        </is>
      </c>
      <c r="F174" s="275" t="n"/>
      <c r="G174" s="275" t="n"/>
      <c r="H174" s="275" t="n"/>
      <c r="I174" s="276" t="n"/>
      <c r="J174" s="275" t="n"/>
      <c r="K174" s="275" t="n"/>
    </row>
    <row r="175" ht="15" customHeight="1" s="210">
      <c r="C175" s="279" t="n"/>
      <c r="D175" s="276" t="n"/>
      <c r="E175" s="277" t="inlineStr">
        <is>
          <t>Unique wireless use and Total Computer Use</t>
        </is>
      </c>
      <c r="F175" s="275" t="n"/>
      <c r="G175" s="275" t="n"/>
      <c r="H175" s="275" t="n"/>
      <c r="I175" s="276" t="n"/>
      <c r="J175" s="275" t="n"/>
      <c r="K175" s="275" t="n"/>
    </row>
    <row r="176" ht="15" customHeight="1" s="210">
      <c r="C176" s="275" t="inlineStr">
        <is>
          <t>Library Direct Patron Service</t>
        </is>
      </c>
      <c r="D176" s="276" t="inlineStr">
        <is>
          <t>p84</t>
        </is>
      </c>
      <c r="E176" s="277" t="inlineStr">
        <is>
          <t>Reference Questions - 5 segments (avg. per month, manually counted one day per mo)</t>
        </is>
      </c>
      <c r="F176" s="275" t="n"/>
      <c r="G176" s="275" t="n"/>
      <c r="H176" s="275" t="n"/>
      <c r="I176" s="276" t="n"/>
      <c r="J176" s="275" t="n"/>
      <c r="K176" s="275" t="n"/>
    </row>
    <row r="177" ht="15" customHeight="1" s="210">
      <c r="C177" s="278" t="inlineStr">
        <is>
          <t>Library Programming &amp; Outreach</t>
        </is>
      </c>
      <c r="D177" s="276" t="inlineStr">
        <is>
          <t>p85</t>
        </is>
      </c>
      <c r="E177" s="277" t="inlineStr">
        <is>
          <t>Total social media user engagement</t>
        </is>
      </c>
      <c r="F177" s="275" t="n"/>
      <c r="G177" s="275" t="n"/>
      <c r="H177" s="275" t="n"/>
      <c r="I177" s="276" t="n"/>
      <c r="J177" s="275" t="n"/>
      <c r="K177" s="275" t="n"/>
    </row>
    <row r="178" ht="15" customHeight="1" s="210">
      <c r="D178" s="276" t="n"/>
      <c r="E178" s="277" t="inlineStr">
        <is>
          <t>Total program attendance</t>
        </is>
      </c>
      <c r="F178" s="275" t="n"/>
      <c r="G178" s="275" t="n"/>
      <c r="H178" s="275" t="n"/>
      <c r="I178" s="276" t="n"/>
      <c r="J178" s="275" t="n"/>
      <c r="K178" s="275" t="n"/>
    </row>
    <row r="179" ht="15" customHeight="1" s="210">
      <c r="D179" s="276" t="n"/>
      <c r="E179" s="277" t="inlineStr">
        <is>
          <t>Patron per program</t>
        </is>
      </c>
      <c r="F179" s="275" t="n"/>
      <c r="G179" s="275" t="n"/>
      <c r="H179" s="275" t="n"/>
      <c r="I179" s="276" t="n"/>
      <c r="J179" s="275" t="n"/>
      <c r="K179" s="275" t="n"/>
    </row>
    <row r="180" ht="15" customHeight="1" s="210">
      <c r="B180" s="231" t="n"/>
      <c r="C180" s="279" t="n"/>
      <c r="D180" s="276" t="n"/>
      <c r="E180" s="277" t="inlineStr">
        <is>
          <t>Total outreach contacts</t>
        </is>
      </c>
      <c r="F180" s="275" t="n"/>
      <c r="G180" s="275" t="n"/>
      <c r="H180" s="275" t="n"/>
      <c r="I180" s="276" t="n"/>
      <c r="J180" s="275" t="n"/>
      <c r="K180" s="275" t="n"/>
    </row>
    <row r="181" ht="15" customHeight="1" s="210">
      <c r="B181" s="280" t="inlineStr">
        <is>
          <t>Parks and Open Space Management (ks18)
ops/capital budget per acre of park space - overlay CoD population
ops/capital budget per 1000 acres of open space - overlay CoD population
COMMUNITY SURVEY: Quality of experience results</t>
        </is>
      </c>
      <c r="C181" s="278" t="inlineStr">
        <is>
          <t>Park Management</t>
        </is>
      </c>
      <c r="D181" s="276" t="inlineStr">
        <is>
          <t>p88</t>
        </is>
      </c>
      <c r="E181" s="277" t="inlineStr">
        <is>
          <t>Number of Residents per Park</t>
        </is>
      </c>
      <c r="F181" s="275" t="n"/>
      <c r="G181" s="275" t="n"/>
      <c r="H181" s="275" t="n"/>
      <c r="I181" s="276" t="n"/>
      <c r="J181" s="275" t="n"/>
      <c r="K181" s="275" t="n"/>
    </row>
    <row r="182" ht="15" customHeight="1" s="210">
      <c r="C182" s="279" t="n"/>
      <c r="D182" s="276" t="n"/>
      <c r="E182" s="277" t="inlineStr">
        <is>
          <t>Acres of Parkland per 1,000 Residents</t>
        </is>
      </c>
      <c r="F182" s="275" t="n"/>
      <c r="G182" s="275" t="n"/>
      <c r="H182" s="275" t="n"/>
      <c r="I182" s="276" t="n"/>
      <c r="J182" s="275" t="n"/>
      <c r="K182" s="275" t="n"/>
    </row>
    <row r="183" ht="15" customHeight="1" s="210">
      <c r="C183" s="278" t="inlineStr">
        <is>
          <t>Cemetery</t>
        </is>
      </c>
      <c r="D183" s="276" t="inlineStr">
        <is>
          <t>p116</t>
        </is>
      </c>
      <c r="E183" s="277" t="inlineStr">
        <is>
          <t>Cremations vs full burial - point in time moving forward</t>
        </is>
      </c>
      <c r="F183" s="275" t="n"/>
      <c r="G183" s="275" t="n"/>
      <c r="H183" s="275" t="n"/>
      <c r="I183" s="276" t="n"/>
      <c r="J183" s="275" t="n"/>
      <c r="K183" s="275" t="n"/>
    </row>
    <row r="184" ht="15" customHeight="1" s="210">
      <c r="C184" s="279" t="n"/>
      <c r="D184" s="276" t="n"/>
      <c r="E184" s="277" t="inlineStr">
        <is>
          <t>Cemetery Plot + Grave Opening Sales</t>
        </is>
      </c>
      <c r="F184" s="275" t="n"/>
      <c r="G184" s="275" t="n"/>
      <c r="H184" s="275" t="n"/>
      <c r="I184" s="276" t="n"/>
      <c r="J184" s="275" t="n"/>
      <c r="K184" s="275" t="n"/>
    </row>
    <row r="185" ht="15" customHeight="1" s="210">
      <c r="C185" s="275" t="inlineStr">
        <is>
          <t>Trails</t>
        </is>
      </c>
      <c r="D185" s="276" t="inlineStr">
        <is>
          <t>p89</t>
        </is>
      </c>
      <c r="E185" s="277" t="inlineStr">
        <is>
          <t>Miles of Trails</t>
        </is>
      </c>
      <c r="F185" s="275" t="n"/>
      <c r="G185" s="275" t="n"/>
      <c r="H185" s="275" t="n"/>
      <c r="I185" s="276" t="n"/>
      <c r="J185" s="275" t="n"/>
      <c r="K185" s="275" t="n"/>
    </row>
    <row r="186" ht="15" customHeight="1" s="210">
      <c r="C186" s="278" t="inlineStr">
        <is>
          <t>Lake Nighthorse</t>
        </is>
      </c>
      <c r="D186" s="276" t="inlineStr">
        <is>
          <t>p117</t>
        </is>
      </c>
      <c r="E186" s="277" t="inlineStr">
        <is>
          <t>Pass Retention</t>
        </is>
      </c>
      <c r="F186" s="275" t="n"/>
      <c r="G186" s="275" t="n"/>
      <c r="H186" s="275" t="n"/>
      <c r="I186" s="276" t="n"/>
      <c r="J186" s="275" t="n"/>
      <c r="K186" s="275" t="n"/>
    </row>
    <row r="187" ht="15" customHeight="1" s="210">
      <c r="C187" s="279" t="n"/>
      <c r="D187" s="276" t="n"/>
      <c r="E187" s="277" t="inlineStr">
        <is>
          <t>Program Capacity</t>
        </is>
      </c>
      <c r="F187" s="275" t="n"/>
      <c r="G187" s="275" t="n"/>
      <c r="H187" s="275" t="n"/>
      <c r="I187" s="276" t="n"/>
      <c r="J187" s="275" t="n"/>
      <c r="K187" s="275" t="n"/>
    </row>
    <row r="188" ht="15" customHeight="1" s="210">
      <c r="C188" s="278" t="inlineStr">
        <is>
          <t>Open Space Management</t>
        </is>
      </c>
      <c r="D188" s="276" t="inlineStr">
        <is>
          <t>p118</t>
        </is>
      </c>
      <c r="E188" s="277" t="inlineStr">
        <is>
          <t>COMMUNITY SURVEY: Parks results</t>
        </is>
      </c>
      <c r="F188" s="275" t="n"/>
      <c r="G188" s="275" t="n"/>
      <c r="H188" s="275" t="n"/>
      <c r="I188" s="276" t="n"/>
      <c r="J188" s="275" t="n"/>
      <c r="K188" s="275" t="n"/>
    </row>
    <row r="189" ht="15" customHeight="1" s="210">
      <c r="C189" s="279" t="n"/>
      <c r="D189" s="276" t="n"/>
      <c r="E189" s="277" t="inlineStr">
        <is>
          <t>FTEs per 1000 acres of open space + ops/capital budget per 1000 acres of open space</t>
        </is>
      </c>
      <c r="F189" s="275" t="n"/>
      <c r="G189" s="275" t="n"/>
      <c r="H189" s="275" t="n"/>
      <c r="I189" s="276" t="n"/>
      <c r="J189" s="275" t="n"/>
      <c r="K189" s="275" t="n"/>
    </row>
    <row r="190" ht="15" customHeight="1" s="210">
      <c r="C190" s="278" t="inlineStr">
        <is>
          <t>Forestry</t>
        </is>
      </c>
      <c r="D190" s="276" t="inlineStr">
        <is>
          <t>p125</t>
        </is>
      </c>
      <c r="E190" s="277" t="inlineStr">
        <is>
          <t>Tree count + canopy coverage</t>
        </is>
      </c>
      <c r="F190" s="275" t="n"/>
      <c r="G190" s="275" t="n"/>
      <c r="H190" s="275" t="n"/>
      <c r="I190" s="276" t="n"/>
      <c r="J190" s="281" t="n"/>
      <c r="K190" s="281" t="n"/>
    </row>
    <row r="191" ht="15" customHeight="1" s="210">
      <c r="B191" s="231" t="n"/>
      <c r="C191" s="279" t="n"/>
      <c r="D191" s="276" t="n"/>
      <c r="E191" s="277" t="inlineStr">
        <is>
          <t>Percentage of trees that require pruning that are in the high risk category</t>
        </is>
      </c>
      <c r="F191" s="275" t="n"/>
      <c r="G191" s="275" t="n"/>
      <c r="H191" s="275" t="n"/>
      <c r="I191" s="276" t="n"/>
      <c r="J191" s="281" t="n"/>
      <c r="K191" s="281" t="n"/>
    </row>
    <row r="192" ht="15" customHeight="1" s="210">
      <c r="B192" s="274" t="inlineStr">
        <is>
          <t>Recreation &amp; Community Programs (ks19)
Total pass retention
Total program capacity
Community survey results (with service population or another metric??)
Social media engagement rate - P&amp;R channels only</t>
        </is>
      </c>
      <c r="C192" s="278" t="inlineStr">
        <is>
          <t>Recreation Center</t>
        </is>
      </c>
      <c r="D192" s="276" t="inlineStr">
        <is>
          <t>p92</t>
        </is>
      </c>
      <c r="E192" s="277" t="inlineStr">
        <is>
          <t>Pass Retention - Rec Center</t>
        </is>
      </c>
      <c r="F192" s="275" t="n"/>
      <c r="G192" s="275" t="n"/>
      <c r="H192" s="275" t="n"/>
      <c r="I192" s="276" t="n"/>
      <c r="J192" s="275" t="n"/>
      <c r="K192" s="275" t="n"/>
    </row>
    <row r="193" ht="15" customHeight="1" s="210">
      <c r="C193" s="279" t="n"/>
      <c r="D193" s="276" t="n"/>
      <c r="E193" s="277" t="inlineStr">
        <is>
          <t>Program Capacity - Rec Center</t>
        </is>
      </c>
      <c r="F193" s="275" t="n"/>
      <c r="G193" s="275" t="n"/>
      <c r="H193" s="275" t="n"/>
      <c r="I193" s="276" t="n"/>
      <c r="J193" s="275" t="n"/>
      <c r="K193" s="275" t="n"/>
    </row>
    <row r="194" ht="15" customHeight="1" s="210">
      <c r="C194" s="275" t="inlineStr">
        <is>
          <t>Youth/Teen Recreation Programs</t>
        </is>
      </c>
      <c r="D194" s="276" t="inlineStr">
        <is>
          <t>p94</t>
        </is>
      </c>
      <c r="E194" s="277" t="inlineStr">
        <is>
          <t>Program Capacity - Youth/Teen Rec</t>
        </is>
      </c>
      <c r="F194" s="275" t="n"/>
      <c r="G194" s="275" t="n"/>
      <c r="H194" s="275" t="n"/>
      <c r="I194" s="276" t="n"/>
      <c r="J194" s="275" t="n"/>
      <c r="K194" s="275" t="n"/>
    </row>
    <row r="195" ht="15" customHeight="1" s="210">
      <c r="C195" s="275" t="inlineStr">
        <is>
          <t>Adult/Senior Recreation Programs</t>
        </is>
      </c>
      <c r="D195" s="276" t="inlineStr">
        <is>
          <t>p96</t>
        </is>
      </c>
      <c r="E195" s="277" t="inlineStr">
        <is>
          <t>Program Capacity - Adult/Senior Rec</t>
        </is>
      </c>
      <c r="F195" s="275" t="n"/>
      <c r="G195" s="275" t="n"/>
      <c r="H195" s="275" t="n"/>
      <c r="I195" s="276" t="n"/>
      <c r="J195" s="275" t="n"/>
      <c r="K195" s="275" t="n"/>
    </row>
    <row r="196" ht="15" customHeight="1" s="210">
      <c r="C196" s="278" t="inlineStr">
        <is>
          <t>Chapman Hill</t>
        </is>
      </c>
      <c r="D196" s="276" t="inlineStr">
        <is>
          <t>p119</t>
        </is>
      </c>
      <c r="E196" s="277" t="inlineStr">
        <is>
          <t>Pass Retention - Chapman</t>
        </is>
      </c>
      <c r="F196" s="275" t="n"/>
      <c r="G196" s="275" t="n"/>
      <c r="H196" s="275" t="n"/>
      <c r="I196" s="276" t="n"/>
      <c r="J196" s="275" t="n"/>
      <c r="K196" s="275" t="n"/>
    </row>
    <row r="197" ht="15" customHeight="1" s="210">
      <c r="C197" s="279" t="n"/>
      <c r="D197" s="276" t="n"/>
      <c r="E197" s="277" t="inlineStr">
        <is>
          <t>Program Capacity - Chapman</t>
        </is>
      </c>
      <c r="F197" s="275" t="n"/>
      <c r="G197" s="275" t="n"/>
      <c r="H197" s="275" t="n"/>
      <c r="I197" s="276" t="n"/>
      <c r="J197" s="275" t="n"/>
      <c r="K197" s="275" t="n"/>
    </row>
    <row r="198" ht="15" customHeight="1" s="210">
      <c r="C198" s="275" t="inlineStr">
        <is>
          <t>Gymnastics Programs</t>
        </is>
      </c>
      <c r="D198" s="276" t="inlineStr">
        <is>
          <t>p120</t>
        </is>
      </c>
      <c r="E198" s="277" t="inlineStr">
        <is>
          <t>Program Capacity - Gymnastics</t>
        </is>
      </c>
      <c r="F198" s="275" t="n"/>
      <c r="G198" s="275" t="n"/>
      <c r="H198" s="275" t="n"/>
      <c r="I198" s="276" t="n"/>
      <c r="J198" s="275" t="n"/>
      <c r="K198" s="275" t="n"/>
    </row>
    <row r="199" ht="15" customHeight="1" s="210">
      <c r="C199" s="275" t="inlineStr">
        <is>
          <t>Childcare</t>
        </is>
      </c>
      <c r="D199" s="276" t="inlineStr">
        <is>
          <t>p121</t>
        </is>
      </c>
      <c r="E199" s="277" t="inlineStr">
        <is>
          <t>Program Capacity - Child Care</t>
        </is>
      </c>
      <c r="F199" s="275" t="n"/>
      <c r="G199" s="275" t="n"/>
      <c r="H199" s="275" t="n"/>
      <c r="I199" s="276" t="n"/>
      <c r="J199" s="275" t="n"/>
      <c r="K199" s="275" t="n"/>
    </row>
    <row r="200" ht="15" customHeight="1" s="210">
      <c r="C200" s="278" t="inlineStr">
        <is>
          <t>Community Events</t>
        </is>
      </c>
      <c r="D200" s="276" t="inlineStr">
        <is>
          <t>p95</t>
        </is>
      </c>
      <c r="E200" s="277" t="inlineStr">
        <is>
          <t>All community events - segmented by total, produced and serviced.</t>
        </is>
      </c>
      <c r="F200" s="275" t="n"/>
      <c r="G200" s="275" t="n"/>
      <c r="H200" s="275" t="n"/>
      <c r="I200" s="276" t="n"/>
      <c r="J200" s="275" t="n"/>
      <c r="K200" s="275" t="n"/>
    </row>
    <row r="201" ht="15" customHeight="1" s="210">
      <c r="D201" s="276" t="n"/>
      <c r="E201" s="277" t="inlineStr">
        <is>
          <t>Number of Permits Issued (Activity, Parks, Banners)</t>
        </is>
      </c>
      <c r="F201" s="275" t="n"/>
      <c r="G201" s="275" t="n"/>
      <c r="H201" s="275" t="n"/>
      <c r="I201" s="276" t="n"/>
      <c r="J201" s="275" t="n"/>
      <c r="K201" s="275" t="n"/>
    </row>
    <row r="202" ht="15" customHeight="1" s="210">
      <c r="B202" s="231" t="n"/>
      <c r="C202" s="279" t="n"/>
      <c r="D202" s="276" t="n"/>
      <c r="E202" s="277" t="inlineStr">
        <is>
          <t>Comm survey- have you attended an event?</t>
        </is>
      </c>
      <c r="F202" s="275" t="n"/>
      <c r="G202" s="275" t="n"/>
      <c r="H202" s="275" t="n"/>
      <c r="I202" s="276" t="n"/>
      <c r="J202" s="275" t="n"/>
      <c r="K202" s="275" t="n"/>
    </row>
  </sheetData>
  <mergeCells count="65">
    <mergeCell ref="B86:B92"/>
    <mergeCell ref="B55:B62"/>
    <mergeCell ref="B132:B140"/>
    <mergeCell ref="C109:C117"/>
    <mergeCell ref="A21:A71"/>
    <mergeCell ref="A2:A17"/>
    <mergeCell ref="C89:C92"/>
    <mergeCell ref="B157:B167"/>
    <mergeCell ref="C72:C74"/>
    <mergeCell ref="C196:C197"/>
    <mergeCell ref="C16:C17"/>
    <mergeCell ref="B181:B191"/>
    <mergeCell ref="B2:B5"/>
    <mergeCell ref="B172:B180"/>
    <mergeCell ref="B21:B39"/>
    <mergeCell ref="C66:C68"/>
    <mergeCell ref="C124:C125"/>
    <mergeCell ref="C79:C84"/>
    <mergeCell ref="C106:C108"/>
    <mergeCell ref="B127:B131"/>
    <mergeCell ref="C69:C71"/>
    <mergeCell ref="C75:C78"/>
    <mergeCell ref="C12:C13"/>
    <mergeCell ref="C183:C184"/>
    <mergeCell ref="C148:C149"/>
    <mergeCell ref="C192:C193"/>
    <mergeCell ref="C177:C180"/>
    <mergeCell ref="B72:B85"/>
    <mergeCell ref="A98:A131"/>
    <mergeCell ref="B14:B19"/>
    <mergeCell ref="C18:C20"/>
    <mergeCell ref="C145:C147"/>
    <mergeCell ref="C118:C123"/>
    <mergeCell ref="B141:B156"/>
    <mergeCell ref="C188:C189"/>
    <mergeCell ref="B40:B54"/>
    <mergeCell ref="C56:C61"/>
    <mergeCell ref="B192:B202"/>
    <mergeCell ref="A132:A171"/>
    <mergeCell ref="C24:C28"/>
    <mergeCell ref="C153:C156"/>
    <mergeCell ref="B168:B171"/>
    <mergeCell ref="C200:C202"/>
    <mergeCell ref="C7:C10"/>
    <mergeCell ref="B63:B71"/>
    <mergeCell ref="A72:A97"/>
    <mergeCell ref="C98:C102"/>
    <mergeCell ref="C103:C105"/>
    <mergeCell ref="C141:C143"/>
    <mergeCell ref="C181:C182"/>
    <mergeCell ref="B6:B13"/>
    <mergeCell ref="C86:C87"/>
    <mergeCell ref="B93:B97"/>
    <mergeCell ref="C190:C191"/>
    <mergeCell ref="A172:A202"/>
    <mergeCell ref="C53:C54"/>
    <mergeCell ref="C40:C42"/>
    <mergeCell ref="C30:C38"/>
    <mergeCell ref="C127:C129"/>
    <mergeCell ref="C43:C52"/>
    <mergeCell ref="C14:C15"/>
    <mergeCell ref="C186:C187"/>
    <mergeCell ref="C173:C175"/>
    <mergeCell ref="C151:C152"/>
    <mergeCell ref="B98:B12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166"/>
  <sheetViews>
    <sheetView showFormulas="0" showGridLines="1" showRowColHeaders="1" showZeros="1" rightToLeft="0" tabSelected="0" showOutlineSymbols="1" defaultGridColor="1" view="normal" topLeftCell="A1" colorId="64" zoomScale="120" zoomScaleNormal="120" zoomScalePageLayoutView="100" workbookViewId="0">
      <pane xSplit="0" ySplit="1" topLeftCell="A2" activePane="bottomLeft" state="frozen"/>
      <selection pane="topLeft" activeCell="A1" activeCellId="0" sqref="A1"/>
      <selection pane="bottomLeft" activeCell="C13" activeCellId="0" sqref="C13"/>
    </sheetView>
  </sheetViews>
  <sheetFormatPr baseColWidth="8" defaultColWidth="29.1640625" defaultRowHeight="13.5" zeroHeight="0" outlineLevelRow="0"/>
  <cols>
    <col width="29.16" customWidth="1" style="282" min="1" max="1"/>
    <col width="35.67" customWidth="1" style="283" min="2" max="2"/>
    <col width="38" customWidth="1" style="282" min="3" max="3"/>
    <col width="84.16" customWidth="1" style="284" min="4" max="4"/>
    <col width="68.33" customWidth="1" style="282" min="5" max="5"/>
    <col width="7.5" customWidth="1" style="282" min="6" max="6"/>
    <col width="8.16" customWidth="1" style="285" min="7" max="7"/>
    <col width="13.34" customWidth="1" style="285" min="8" max="8"/>
    <col width="10" customWidth="1" style="285" min="9" max="9"/>
    <col width="12.33" customWidth="1" style="286" min="10" max="10"/>
    <col width="75.5" customWidth="1" style="286" min="11" max="11"/>
    <col width="29.16" customWidth="1" style="286" min="12" max="16384"/>
  </cols>
  <sheetData>
    <row r="1" ht="15" customHeight="1" s="210">
      <c r="A1" s="224" t="inlineStr">
        <is>
          <t>Goal Area</t>
        </is>
      </c>
      <c r="B1" s="224" t="inlineStr">
        <is>
          <t>Objective</t>
        </is>
      </c>
      <c r="C1" s="224" t="inlineStr">
        <is>
          <t>Key Service</t>
        </is>
      </c>
      <c r="D1" s="223" t="inlineStr">
        <is>
          <t>Key Service</t>
        </is>
      </c>
      <c r="E1" s="224" t="inlineStr">
        <is>
          <t>Metric  [highlighted = most relevant kpi from the key service]</t>
        </is>
      </c>
      <c r="F1" s="223" t="inlineStr">
        <is>
          <t>Data?</t>
        </is>
      </c>
      <c r="G1" s="223" t="inlineStr">
        <is>
          <t>Target?</t>
        </is>
      </c>
      <c r="H1" s="223" t="inlineStr">
        <is>
          <t>Benchmark?</t>
        </is>
      </c>
      <c r="I1" s="223" t="inlineStr">
        <is>
          <t>Narrative?</t>
        </is>
      </c>
      <c r="J1" s="224" t="inlineStr">
        <is>
          <t>Dash Status</t>
        </is>
      </c>
      <c r="K1" s="287" t="inlineStr">
        <is>
          <t>Review note</t>
        </is>
      </c>
    </row>
    <row r="2" ht="15" customHeight="1" s="210">
      <c r="A2" s="288" t="inlineStr">
        <is>
          <t>Organizational Stewardship</t>
        </is>
      </c>
      <c r="B2" s="289" t="inlineStr">
        <is>
          <t>1.1 Ensure a financially sustainable and innovation-led framework that thrives on building effective partnerships to alleviate city costs, and harnesses the power of technology for efficiency.</t>
        </is>
      </c>
      <c r="C2" s="290" t="inlineStr">
        <is>
          <t>Information Technology Services</t>
        </is>
      </c>
      <c r="D2" s="291" t="inlineStr">
        <is>
          <t xml:space="preserve">show how well technology is making the city more efficient </t>
        </is>
      </c>
      <c r="E2" s="292" t="inlineStr">
        <is>
          <t>Phish Prone Rate</t>
        </is>
      </c>
      <c r="F2" s="291" t="n"/>
      <c r="G2" s="291" t="n"/>
      <c r="H2" s="291" t="n"/>
      <c r="I2" s="291" t="n"/>
      <c r="J2" s="291" t="n"/>
      <c r="K2" s="293" t="n"/>
    </row>
    <row r="3" ht="15" customHeight="1" s="210">
      <c r="E3" s="292" t="inlineStr">
        <is>
          <t>Network Uptime</t>
        </is>
      </c>
      <c r="F3" s="291" t="n"/>
      <c r="G3" s="291" t="n"/>
      <c r="H3" s="291" t="n"/>
      <c r="I3" s="291" t="n"/>
      <c r="J3" s="291" t="n"/>
      <c r="K3" s="293" t="n"/>
    </row>
    <row r="4" ht="15" customHeight="1" s="210">
      <c r="E4" s="292" t="inlineStr">
        <is>
          <t>PIT Scores</t>
        </is>
      </c>
      <c r="F4" s="291" t="n"/>
      <c r="G4" s="291" t="n"/>
      <c r="H4" s="291" t="n"/>
      <c r="I4" s="291" t="n"/>
      <c r="J4" s="291" t="n"/>
      <c r="K4" s="293" t="n"/>
    </row>
    <row r="5" ht="15" customHeight="1" s="210">
      <c r="E5" s="292" t="inlineStr">
        <is>
          <t>Help Desk Resolution within SLA</t>
        </is>
      </c>
      <c r="F5" s="291" t="n"/>
      <c r="G5" s="291" t="n"/>
      <c r="H5" s="291" t="n"/>
      <c r="I5" s="291" t="n"/>
      <c r="J5" s="291" t="n"/>
      <c r="K5" s="293" t="n"/>
    </row>
    <row r="6" ht="15" customHeight="1" s="210">
      <c r="C6" s="234" t="n"/>
      <c r="D6" s="234" t="n"/>
      <c r="E6" s="292" t="inlineStr">
        <is>
          <t>IT Liaison Survey</t>
        </is>
      </c>
      <c r="F6" s="291" t="n"/>
      <c r="G6" s="291" t="n"/>
      <c r="H6" s="291" t="n"/>
      <c r="I6" s="291" t="n"/>
      <c r="J6" s="291" t="n"/>
      <c r="K6" s="293" t="n"/>
    </row>
    <row r="7" ht="15" customHeight="1" s="210">
      <c r="C7" s="294" t="inlineStr">
        <is>
          <t>Economic Prosperity and Business Support</t>
        </is>
      </c>
      <c r="D7" s="295" t="inlineStr">
        <is>
          <t>adds revenue that can strengthen the city's longterm financial position</t>
        </is>
      </c>
      <c r="E7" s="292" t="inlineStr">
        <is>
          <t>Annual URA Income as a rate of growth - broken out individually by URA and total</t>
        </is>
      </c>
      <c r="F7" s="291" t="n"/>
      <c r="G7" s="291" t="n"/>
      <c r="H7" s="291" t="n"/>
      <c r="I7" s="291" t="n"/>
      <c r="J7" s="291" t="n"/>
      <c r="K7" s="293" t="n"/>
    </row>
    <row r="8" ht="15" customHeight="1" s="210">
      <c r="C8" s="234" t="n"/>
      <c r="D8" s="234" t="n"/>
      <c r="E8" s="291" t="inlineStr">
        <is>
          <t>Occupancy Rate (Year over Year Quarterly) + Visitor Spend (annual YOY)</t>
        </is>
      </c>
      <c r="F8" s="291" t="n"/>
      <c r="G8" s="291" t="n"/>
      <c r="H8" s="291" t="n"/>
      <c r="I8" s="291" t="n"/>
      <c r="J8" s="291" t="n"/>
      <c r="K8" s="293" t="n"/>
    </row>
    <row r="9" ht="15" customHeight="1" s="210">
      <c r="C9" s="290" t="inlineStr">
        <is>
          <t>Financial Management &amp; Accountability</t>
        </is>
      </c>
      <c r="D9" s="291" t="inlineStr">
        <is>
          <t>budget, revenue collection, and financial compliance are the core long term financial health</t>
        </is>
      </c>
      <c r="E9" s="291" t="n"/>
      <c r="F9" s="291" t="n"/>
      <c r="G9" s="291" t="n"/>
      <c r="H9" s="291" t="n"/>
      <c r="I9" s="291" t="n"/>
      <c r="J9" s="291" t="n"/>
      <c r="K9" s="293" t="n"/>
    </row>
    <row r="10" ht="15" customHeight="1" s="210">
      <c r="C10" s="290" t="inlineStr">
        <is>
          <t>Administrative Leadership and Governance</t>
        </is>
      </c>
      <c r="D10" s="293" t="inlineStr">
        <is>
          <t xml:space="preserve">leadership sets the strategic and budget priorities </t>
        </is>
      </c>
      <c r="E10" s="291" t="n"/>
      <c r="F10" s="291" t="n"/>
      <c r="G10" s="291" t="n"/>
      <c r="H10" s="291" t="n"/>
      <c r="I10" s="291" t="n"/>
      <c r="J10" s="291" t="n"/>
      <c r="K10" s="293" t="n"/>
    </row>
    <row r="11" ht="15" customHeight="1" s="210">
      <c r="B11" s="231" t="n"/>
      <c r="C11" s="290" t="inlineStr">
        <is>
          <t>Legal Services</t>
        </is>
      </c>
      <c r="D11" s="291" t="inlineStr">
        <is>
          <t>risk management and legal counsel protect the city from claims and losses that would cost taxpayers</t>
        </is>
      </c>
      <c r="E11" s="291" t="n"/>
      <c r="F11" s="291" t="n"/>
      <c r="G11" s="291" t="n"/>
      <c r="H11" s="291" t="n"/>
      <c r="I11" s="291" t="n"/>
      <c r="J11" s="291" t="n"/>
      <c r="K11" s="293" t="n"/>
    </row>
    <row r="12" ht="48" customHeight="1" s="210">
      <c r="B12" s="289" t="inlineStr">
        <is>
          <t xml:space="preserve">1.2 Foster strong community group partnerships through effective communication and a commitment to diversity, equity, and inclusivity efforts while focusing on increased accessibility of services for underserved communities.  </t>
        </is>
      </c>
      <c r="C12" s="290" t="inlineStr">
        <is>
          <t>Administrative Leadership and Governance</t>
        </is>
      </c>
      <c r="D12" s="293" t="inlineStr">
        <is>
          <t>leadership builds city partnerships and sets DEI commitment</t>
        </is>
      </c>
      <c r="E12" s="291" t="n"/>
      <c r="F12" s="291" t="n"/>
      <c r="G12" s="291" t="n"/>
      <c r="H12" s="291" t="n"/>
      <c r="I12" s="291" t="n"/>
      <c r="J12" s="291" t="n"/>
      <c r="K12" s="293" t="n"/>
    </row>
    <row r="13" ht="42" customFormat="1" customHeight="1" s="296">
      <c r="B13" s="231" t="n"/>
      <c r="C13" s="290" t="inlineStr">
        <is>
          <t>Public Information &amp; Community Engagement</t>
        </is>
      </c>
      <c r="D13" s="291" t="inlineStr">
        <is>
          <t>outreach and engagement initiatives are how the city reaches community groups and underserved residents</t>
        </is>
      </c>
      <c r="E13" s="297" t="n"/>
      <c r="F13" s="297" t="n"/>
      <c r="G13" s="297" t="n"/>
      <c r="H13" s="297" t="n"/>
      <c r="I13" s="297" t="n"/>
      <c r="J13" s="297" t="n"/>
      <c r="K13" s="298" t="n"/>
    </row>
    <row r="14" ht="64.5" customHeight="1" s="210">
      <c r="B14" s="299" t="inlineStr">
        <is>
          <t xml:space="preserve">1.3 Advance a systematic approach toward environmental sustainability through focused efforts to conserve resources and mitigate environmental stressors by meeting or exceeding local, state, and national standards. </t>
        </is>
      </c>
      <c r="C14" s="290" t="inlineStr">
        <is>
          <t>Sustainability &amp; Environmental Stewardship</t>
        </is>
      </c>
      <c r="D14" s="291" t="inlineStr">
        <is>
          <t>the city's main tools for conserving resources</t>
        </is>
      </c>
      <c r="E14" s="291" t="n"/>
      <c r="F14" s="291" t="n"/>
      <c r="G14" s="291" t="n"/>
      <c r="H14" s="291" t="n"/>
      <c r="I14" s="291" t="n"/>
      <c r="J14" s="291" t="n"/>
      <c r="K14" s="293" t="n"/>
    </row>
    <row r="15" ht="15" customHeight="1" s="210">
      <c r="C15" s="290" t="inlineStr">
        <is>
          <t xml:space="preserve">Public Works &amp; Municipal Services </t>
        </is>
      </c>
      <c r="D15" s="291" t="inlineStr">
        <is>
          <t>decide whether the city meets environmental standards</t>
        </is>
      </c>
      <c r="E15" s="291" t="n"/>
      <c r="F15" s="291" t="n"/>
      <c r="G15" s="291" t="n"/>
      <c r="H15" s="291" t="n"/>
      <c r="I15" s="291" t="n"/>
      <c r="J15" s="291" t="n"/>
      <c r="K15" s="293" t="n"/>
    </row>
    <row r="16" ht="15" customHeight="1" s="210">
      <c r="A16" s="300" t="inlineStr">
        <is>
          <t>Innovative Housing and Economic Development</t>
        </is>
      </c>
      <c r="B16" s="301" t="inlineStr">
        <is>
          <t xml:space="preserve">2.1 Cultivate innovative housing solutions and partnerships to advance the development of a variety of housing options to support a multigenerational and mixed-income community by narrowing the gap between income levels and housing affordability. </t>
        </is>
      </c>
      <c r="C16" s="302" t="inlineStr">
        <is>
          <t>Community Development &amp; Planning</t>
        </is>
      </c>
      <c r="D16" s="303" t="inlineStr">
        <is>
          <t>shows progress on housing options for all income levels</t>
        </is>
      </c>
      <c r="E16" s="292" t="inlineStr">
        <is>
          <t>Total Regulated Affordable Housing Units</t>
        </is>
      </c>
      <c r="F16" s="304" t="n"/>
      <c r="G16" s="304" t="n"/>
      <c r="H16" s="304" t="n"/>
      <c r="I16" s="304" t="n"/>
      <c r="J16" s="304" t="n"/>
      <c r="K16" s="305" t="n"/>
    </row>
    <row r="17" ht="15" customHeight="1" s="210">
      <c r="E17" s="304" t="inlineStr">
        <is>
          <t>Acres of land annexed and sorted by zone</t>
        </is>
      </c>
      <c r="F17" s="304" t="n"/>
      <c r="G17" s="304" t="n"/>
      <c r="H17" s="304" t="n"/>
      <c r="I17" s="304" t="n"/>
      <c r="J17" s="304" t="n"/>
      <c r="K17" s="305" t="n"/>
    </row>
    <row r="18" ht="15" customHeight="1" s="210">
      <c r="E18" s="304" t="inlineStr">
        <is>
          <t>Building permits issued within 48 hours</t>
        </is>
      </c>
      <c r="F18" s="304" t="n"/>
      <c r="G18" s="304" t="n"/>
      <c r="H18" s="304" t="n"/>
      <c r="I18" s="304" t="n"/>
      <c r="J18" s="304" t="n"/>
      <c r="K18" s="305" t="n"/>
    </row>
    <row r="19" ht="57" customHeight="1" s="210">
      <c r="C19" s="234" t="n"/>
      <c r="D19" s="234" t="n"/>
      <c r="E19" s="304" t="inlineStr">
        <is>
          <t xml:space="preserve">Land use permits: Median number of days for application submittal to approval/completion (extreme outliers) - pre app, sign permits, limited use permits, </t>
        </is>
      </c>
      <c r="F19" s="304" t="n"/>
      <c r="G19" s="304" t="n"/>
      <c r="H19" s="304" t="n"/>
      <c r="I19" s="304" t="n"/>
      <c r="J19" s="304" t="n"/>
      <c r="K19" s="305" t="n"/>
    </row>
    <row r="20" ht="15" customHeight="1" s="210">
      <c r="B20" s="306" t="inlineStr">
        <is>
          <t>2.2 Stimulate economic progress and resiliency through strategic collaboration, nurturing entrepreneurship and supporting business growth through well-designed City services and programs.</t>
        </is>
      </c>
      <c r="C20" s="302" t="inlineStr">
        <is>
          <t>City Clerk and Records Management</t>
        </is>
      </c>
      <c r="D20" s="303" t="inlineStr">
        <is>
          <t>fast business and liquor licensing turnaround is a "well designed city service" that helps business grow and open</t>
        </is>
      </c>
      <c r="E20" s="304" t="inlineStr">
        <is>
          <t>Records Request Response Rate</t>
        </is>
      </c>
      <c r="F20" s="304" t="n"/>
      <c r="G20" s="304" t="n"/>
      <c r="H20" s="304" t="n"/>
      <c r="I20" s="304" t="n"/>
      <c r="J20" s="304" t="n"/>
      <c r="K20" s="305" t="n"/>
    </row>
    <row r="21" ht="15" customHeight="1" s="210">
      <c r="E21" s="304" t="inlineStr">
        <is>
          <t>Agenda Posting time</t>
        </is>
      </c>
      <c r="F21" s="304" t="n"/>
      <c r="G21" s="304" t="n"/>
      <c r="H21" s="304" t="n"/>
      <c r="I21" s="304" t="n"/>
      <c r="J21" s="304" t="n"/>
      <c r="K21" s="305" t="n"/>
    </row>
    <row r="22" ht="15" customHeight="1" s="210">
      <c r="E22" s="292" t="inlineStr">
        <is>
          <t>Liquor and marijuana license turnaround</t>
        </is>
      </c>
      <c r="F22" s="304" t="n"/>
      <c r="G22" s="304" t="n"/>
      <c r="H22" s="304" t="n"/>
      <c r="I22" s="304" t="n"/>
      <c r="J22" s="304" t="n"/>
      <c r="K22" s="305" t="n"/>
    </row>
    <row r="23" ht="15" customHeight="1" s="210">
      <c r="E23" s="292" t="inlineStr">
        <is>
          <t>Business License Turnaround</t>
        </is>
      </c>
      <c r="F23" s="304" t="n"/>
      <c r="G23" s="304" t="n"/>
      <c r="H23" s="304" t="n"/>
      <c r="I23" s="304" t="n"/>
      <c r="J23" s="304" t="n"/>
      <c r="K23" s="305" t="n"/>
    </row>
    <row r="24" ht="15" customHeight="1" s="210">
      <c r="C24" s="234" t="n"/>
      <c r="D24" s="234" t="n"/>
      <c r="E24" s="304" t="inlineStr">
        <is>
          <t>Voter turnout (%)</t>
        </is>
      </c>
      <c r="F24" s="304" t="n"/>
      <c r="G24" s="304" t="n"/>
      <c r="H24" s="304" t="n"/>
      <c r="I24" s="304" t="n"/>
      <c r="J24" s="304" t="n"/>
      <c r="K24" s="305" t="n"/>
    </row>
    <row r="25" ht="15" customHeight="1" s="210">
      <c r="C25" s="302" t="inlineStr">
        <is>
          <t>Community Development &amp; Planning</t>
        </is>
      </c>
      <c r="D25" s="303" t="inlineStr">
        <is>
          <t>shows how well city services support businesses and developers</t>
        </is>
      </c>
      <c r="E25" s="304" t="inlineStr">
        <is>
          <t>Total Regulated Affordable Housing Units</t>
        </is>
      </c>
      <c r="F25" s="304" t="n"/>
      <c r="G25" s="304" t="n"/>
      <c r="H25" s="304" t="n"/>
      <c r="I25" s="304" t="n"/>
      <c r="J25" s="304" t="n"/>
      <c r="K25" s="305" t="n"/>
    </row>
    <row r="26" ht="15" customHeight="1" s="210">
      <c r="E26" s="304" t="inlineStr">
        <is>
          <t>Acres of land annexed and sorted by zone</t>
        </is>
      </c>
      <c r="F26" s="304" t="n"/>
      <c r="G26" s="304" t="n"/>
      <c r="H26" s="304" t="n"/>
      <c r="I26" s="304" t="n"/>
      <c r="J26" s="304" t="n"/>
      <c r="K26" s="305" t="n"/>
    </row>
    <row r="27" ht="15" customHeight="1" s="210">
      <c r="E27" s="292" t="inlineStr">
        <is>
          <t>Building permits issued within 48 hours</t>
        </is>
      </c>
      <c r="F27" s="304" t="n"/>
      <c r="G27" s="304" t="n"/>
      <c r="H27" s="304" t="n"/>
      <c r="I27" s="304" t="n"/>
      <c r="J27" s="304" t="n"/>
      <c r="K27" s="305" t="n"/>
    </row>
    <row r="28" ht="30" customHeight="1" s="210">
      <c r="C28" s="234" t="n"/>
      <c r="D28" s="234" t="n"/>
      <c r="E28" s="292" t="inlineStr">
        <is>
          <t xml:space="preserve">Land use permits: Median number of days for application submittal to approval/completion (extreme outliers) - pre app, sign permits, limited use permits, </t>
        </is>
      </c>
      <c r="F28" s="304" t="n"/>
      <c r="G28" s="304" t="n"/>
      <c r="H28" s="304" t="n"/>
      <c r="I28" s="304" t="n"/>
      <c r="J28" s="304" t="n"/>
      <c r="K28" s="305" t="n"/>
    </row>
    <row r="29" ht="15" customHeight="1" s="210">
      <c r="C29" s="307" t="inlineStr">
        <is>
          <t xml:space="preserve">Economic Prosperity &amp; Business Support
</t>
        </is>
      </c>
      <c r="D29" s="308" t="inlineStr">
        <is>
          <t>measures the health of the local tourism and business economy</t>
        </is>
      </c>
      <c r="E29" s="304" t="inlineStr">
        <is>
          <t>Annual URA Income as a rate of growth - broken out individually by URA and total</t>
        </is>
      </c>
      <c r="F29" s="304" t="n"/>
      <c r="G29" s="304" t="n"/>
      <c r="H29" s="304" t="n"/>
      <c r="I29" s="304" t="n"/>
      <c r="J29" s="304" t="n"/>
      <c r="K29" s="305" t="n"/>
    </row>
    <row r="30" ht="15" customHeight="1" s="210">
      <c r="B30" s="231" t="n"/>
      <c r="E30" s="292" t="inlineStr">
        <is>
          <t>Occupancy Rate (Year over Year Quarterly) + Visitor Spend (annual YOY)</t>
        </is>
      </c>
      <c r="F30" s="304" t="n"/>
      <c r="G30" s="304" t="n"/>
      <c r="H30" s="304" t="n"/>
      <c r="I30" s="304" t="n"/>
      <c r="J30" s="304" t="n"/>
      <c r="K30" s="305" t="n"/>
    </row>
    <row r="31" ht="15" customHeight="1" s="210">
      <c r="B31" s="301" t="inlineStr">
        <is>
          <t xml:space="preserve">2.3 Preserve and enhance Durango’s distinctive appeal and competitive edge as an attractive community by engaging in community-driven planning, strategic infrastructure investments, and partnerships between the public and private sectors.  </t>
        </is>
      </c>
      <c r="C31" s="302" t="inlineStr">
        <is>
          <t>Community Development &amp; Planning</t>
        </is>
      </c>
      <c r="D31" s="303" t="inlineStr">
        <is>
          <t>shape how durango grows while protecting its character</t>
        </is>
      </c>
      <c r="E31" s="304" t="inlineStr">
        <is>
          <t>Total Regulated Affordable Housing Units</t>
        </is>
      </c>
      <c r="F31" s="304" t="n"/>
      <c r="G31" s="304" t="n"/>
      <c r="H31" s="304" t="n"/>
      <c r="I31" s="304" t="n"/>
      <c r="J31" s="304" t="n"/>
      <c r="K31" s="305" t="n"/>
    </row>
    <row r="32" ht="15" customHeight="1" s="210">
      <c r="E32" s="292" t="inlineStr">
        <is>
          <t>Acres of land annexed and sorted by zone</t>
        </is>
      </c>
      <c r="F32" s="304" t="n"/>
      <c r="G32" s="304" t="n"/>
      <c r="H32" s="304" t="n"/>
      <c r="I32" s="304" t="n"/>
      <c r="J32" s="304" t="n"/>
      <c r="K32" s="305" t="n"/>
    </row>
    <row r="33" ht="15" customHeight="1" s="210">
      <c r="E33" s="304" t="inlineStr">
        <is>
          <t>Building permits issued within 48 hours</t>
        </is>
      </c>
      <c r="F33" s="304" t="n"/>
      <c r="G33" s="304" t="n"/>
      <c r="H33" s="304" t="n"/>
      <c r="I33" s="304" t="n"/>
      <c r="J33" s="304" t="n"/>
      <c r="K33" s="305" t="n"/>
    </row>
    <row r="34" ht="30" customHeight="1" s="210">
      <c r="C34" s="234" t="n"/>
      <c r="D34" s="234" t="n"/>
      <c r="E34" s="304" t="inlineStr">
        <is>
          <t xml:space="preserve">Land use permits: Median number of days for application submittal to approval/completion (extreme outliers) - pre app, sign permits, limited use permits, </t>
        </is>
      </c>
      <c r="F34" s="304" t="n"/>
      <c r="G34" s="304" t="n"/>
      <c r="H34" s="304" t="n"/>
      <c r="I34" s="304" t="n"/>
      <c r="J34" s="304" t="n"/>
      <c r="K34" s="305" t="n"/>
    </row>
    <row r="35" ht="15" customHeight="1" s="210">
      <c r="C35" s="307" t="inlineStr">
        <is>
          <t xml:space="preserve">Economic Prosperity &amp; Business Support
</t>
        </is>
      </c>
      <c r="D35" s="308" t="inlineStr">
        <is>
          <t>shows return of public-private investments in key districts</t>
        </is>
      </c>
      <c r="E35" s="292" t="inlineStr">
        <is>
          <t>Annual URA Income as a rate of growth - broken out individually by URA and total</t>
        </is>
      </c>
      <c r="F35" s="304" t="n"/>
      <c r="G35" s="304" t="n"/>
      <c r="H35" s="304" t="n"/>
      <c r="I35" s="304" t="n"/>
      <c r="J35" s="304" t="n"/>
      <c r="K35" s="305" t="n"/>
    </row>
    <row r="36" ht="15" customHeight="1" s="210">
      <c r="E36" s="304" t="inlineStr">
        <is>
          <t>Occupancy Rate (Year over Year Quarterly) + Visitor Spend (annual YOY)</t>
        </is>
      </c>
      <c r="F36" s="304" t="n"/>
      <c r="G36" s="304" t="n"/>
      <c r="H36" s="304" t="n"/>
      <c r="I36" s="304" t="n"/>
      <c r="J36" s="304" t="n"/>
      <c r="K36" s="305" t="n"/>
    </row>
    <row r="37" ht="15" customHeight="1" s="210">
      <c r="A37" s="309" t="inlineStr">
        <is>
          <t>Safety and Quality of Life</t>
        </is>
      </c>
      <c r="B37" s="310" t="inlineStr">
        <is>
          <t xml:space="preserve">3.1 Ensure the seamless operation and continual enhancement of police, code enforcement, 911 communications, and contracted emergency services to advance public safety measures, and cooperative emergency preparedness to reinforce community trust to reduce targeted crime rates and enhance the overall sense of safety.  </t>
        </is>
      </c>
      <c r="C37" s="311" t="inlineStr">
        <is>
          <t>Legal Services</t>
        </is>
      </c>
      <c r="D37" s="312" t="inlineStr">
        <is>
          <t>code compliance and prosecution support the enforcemet work that keeps the community safe</t>
        </is>
      </c>
      <c r="E37" s="312" t="n"/>
      <c r="F37" s="312" t="n"/>
      <c r="G37" s="312" t="n"/>
      <c r="H37" s="312" t="n"/>
      <c r="I37" s="312" t="n"/>
      <c r="J37" s="312" t="n"/>
      <c r="K37" s="313" t="n"/>
    </row>
    <row r="38" ht="15" customHeight="1" s="210">
      <c r="C38" s="314" t="inlineStr">
        <is>
          <t>Public Safety Services</t>
        </is>
      </c>
      <c r="D38" s="315" t="inlineStr">
        <is>
          <t>show how safe the community is and how well the police and 911 perform</t>
        </is>
      </c>
      <c r="E38" s="292" t="inlineStr">
        <is>
          <t>Violent/property crime trend</t>
        </is>
      </c>
      <c r="F38" s="312" t="n"/>
      <c r="G38" s="312" t="n"/>
      <c r="H38" s="312" t="n"/>
      <c r="I38" s="312" t="n"/>
      <c r="J38" s="312" t="n"/>
      <c r="K38" s="313" t="n"/>
    </row>
    <row r="39" ht="15" customHeight="1" s="210">
      <c r="E39" s="312" t="inlineStr">
        <is>
          <t xml:space="preserve">Traffic injury trend </t>
        </is>
      </c>
      <c r="F39" s="312" t="n"/>
      <c r="G39" s="312" t="n"/>
      <c r="H39" s="312" t="n"/>
      <c r="I39" s="312" t="n"/>
      <c r="J39" s="312" t="n"/>
      <c r="K39" s="313" t="n"/>
    </row>
    <row r="40" ht="15" customHeight="1" s="210">
      <c r="E40" s="312" t="inlineStr">
        <is>
          <t>Fatal crash trend</t>
        </is>
      </c>
      <c r="F40" s="312" t="n"/>
      <c r="G40" s="312" t="n"/>
      <c r="H40" s="312" t="n"/>
      <c r="I40" s="312" t="n"/>
      <c r="J40" s="312" t="n"/>
      <c r="K40" s="313" t="n"/>
    </row>
    <row r="41" ht="15" customHeight="1" s="210">
      <c r="E41" s="292" t="inlineStr">
        <is>
          <t>Response time - segmented into 911 and non emergent response</t>
        </is>
      </c>
      <c r="F41" s="312" t="n"/>
      <c r="G41" s="312" t="n"/>
      <c r="H41" s="312" t="n"/>
      <c r="I41" s="312" t="n"/>
      <c r="J41" s="312" t="n"/>
      <c r="K41" s="313" t="n"/>
    </row>
    <row r="42" ht="15" customHeight="1" s="210">
      <c r="E42" s="312" t="inlineStr">
        <is>
          <t xml:space="preserve">Call volume - officer initiated vs citizen initiated </t>
        </is>
      </c>
      <c r="F42" s="312" t="n"/>
      <c r="G42" s="312" t="n"/>
      <c r="H42" s="312" t="n"/>
      <c r="I42" s="312" t="n"/>
      <c r="J42" s="312" t="n"/>
      <c r="K42" s="313" t="n"/>
    </row>
    <row r="43" ht="15" customHeight="1" s="210">
      <c r="C43" s="234" t="n"/>
      <c r="D43" s="234" t="n"/>
      <c r="E43" s="292" t="inlineStr">
        <is>
          <t xml:space="preserve">Crime clearance rate - solvability by type. ticket, arrest, transfer out, etc. </t>
        </is>
      </c>
      <c r="F43" s="312" t="n"/>
      <c r="G43" s="312" t="n"/>
      <c r="H43" s="312" t="n"/>
      <c r="I43" s="312" t="n"/>
      <c r="J43" s="312" t="n"/>
      <c r="K43" s="313" t="n"/>
    </row>
    <row r="44" ht="15" customHeight="1" s="210">
      <c r="C44" s="311" t="inlineStr">
        <is>
          <t>Municipal Court</t>
        </is>
      </c>
      <c r="D44" s="312" t="inlineStr">
        <is>
          <t>show the court reducing repeat offenses and supporting long term community safety</t>
        </is>
      </c>
      <c r="E44" s="292" t="inlineStr">
        <is>
          <t>Number of specialty court cases resolved through graduating</t>
        </is>
      </c>
      <c r="F44" s="312" t="n"/>
      <c r="G44" s="312" t="n"/>
      <c r="H44" s="312" t="n"/>
      <c r="I44" s="312" t="n"/>
      <c r="J44" s="312" t="n"/>
      <c r="K44" s="313" t="n"/>
    </row>
    <row r="45" ht="15" customHeight="1" s="210">
      <c r="B45" s="310" t="inlineStr">
        <is>
          <t>3.2 Provide sustainable and inclusive arts, literacy, culture, and recreation opportunities by listening to the community’s diverse needs.</t>
        </is>
      </c>
      <c r="C45" s="314" t="inlineStr">
        <is>
          <t>Library &amp; Learning Services</t>
        </is>
      </c>
      <c r="D45" s="315" t="inlineStr">
        <is>
          <t>shows how much residents use the librarys literacy and cultural offerings</t>
        </is>
      </c>
      <c r="E45" s="292" t="inlineStr">
        <is>
          <t>visitation</t>
        </is>
      </c>
      <c r="F45" s="312" t="n"/>
      <c r="G45" s="312" t="n"/>
      <c r="H45" s="312" t="n"/>
      <c r="I45" s="312" t="n"/>
      <c r="J45" s="312" t="n"/>
      <c r="K45" s="313" t="n"/>
    </row>
    <row r="46" ht="15" customHeight="1" s="210">
      <c r="C46" s="234" t="n"/>
      <c r="D46" s="234" t="n"/>
      <c r="E46" s="292" t="inlineStr">
        <is>
          <t>circulation</t>
        </is>
      </c>
      <c r="F46" s="312" t="n"/>
      <c r="G46" s="312" t="n"/>
      <c r="H46" s="312" t="n"/>
      <c r="I46" s="312" t="n"/>
      <c r="J46" s="312" t="n"/>
      <c r="K46" s="313" t="n"/>
    </row>
    <row r="47" ht="15" customHeight="1" s="210">
      <c r="C47" s="314" t="inlineStr">
        <is>
          <t>Recreation &amp; Community Programs</t>
        </is>
      </c>
      <c r="D47" s="315" t="inlineStr">
        <is>
          <t>shows whether recreation meets residents' diverse needs</t>
        </is>
      </c>
      <c r="E47" s="292" t="inlineStr">
        <is>
          <t>Total pass retention</t>
        </is>
      </c>
      <c r="F47" s="312" t="n"/>
      <c r="G47" s="312" t="n"/>
      <c r="H47" s="312" t="n"/>
      <c r="I47" s="312" t="n"/>
      <c r="J47" s="312" t="n"/>
      <c r="K47" s="313" t="n"/>
    </row>
    <row r="48" ht="15" customHeight="1" s="210">
      <c r="E48" s="312" t="inlineStr">
        <is>
          <t>Total program capacity</t>
        </is>
      </c>
      <c r="F48" s="312" t="n"/>
      <c r="G48" s="312" t="n"/>
      <c r="H48" s="312" t="n"/>
      <c r="I48" s="312" t="n"/>
      <c r="J48" s="312" t="n"/>
      <c r="K48" s="313" t="n"/>
    </row>
    <row r="49" ht="15" customHeight="1" s="210">
      <c r="E49" s="292" t="inlineStr">
        <is>
          <t>Community survey results (with service population or another metric??)</t>
        </is>
      </c>
      <c r="F49" s="312" t="n"/>
      <c r="G49" s="312" t="n"/>
      <c r="H49" s="312" t="n"/>
      <c r="I49" s="312" t="n"/>
      <c r="J49" s="312" t="n"/>
      <c r="K49" s="313" t="n"/>
    </row>
    <row r="50" ht="15" customHeight="1" s="210">
      <c r="C50" s="234" t="n"/>
      <c r="D50" s="234" t="n"/>
      <c r="E50" s="312" t="inlineStr">
        <is>
          <t>Social media engagement rate - P&amp;R channels only</t>
        </is>
      </c>
      <c r="F50" s="312" t="n"/>
      <c r="G50" s="312" t="n"/>
      <c r="H50" s="312" t="n"/>
      <c r="I50" s="312" t="n"/>
      <c r="J50" s="312" t="n"/>
      <c r="K50" s="313" t="n"/>
    </row>
    <row r="51" ht="15" customHeight="1" s="210">
      <c r="B51" s="310" t="inlineStr">
        <is>
          <t>3.3 Continue the ongoing maintenance, preservation, and acquisition of quality parks, trails, and natural lands.</t>
        </is>
      </c>
      <c r="C51" s="316" t="inlineStr">
        <is>
          <t>Parks and Open Space Management</t>
        </is>
      </c>
      <c r="D51" s="317" t="inlineStr">
        <is>
          <t>shows whether parks and open space are being maintained and preservefd</t>
        </is>
      </c>
      <c r="E51" s="292" t="inlineStr">
        <is>
          <t>ops/capital budget per acre of park space - overlay CoD population</t>
        </is>
      </c>
      <c r="F51" s="312" t="n"/>
      <c r="G51" s="312" t="n"/>
      <c r="H51" s="312" t="n"/>
      <c r="I51" s="312" t="n"/>
      <c r="J51" s="312" t="n"/>
      <c r="K51" s="313" t="n"/>
    </row>
    <row r="52" ht="15" customHeight="1" s="210">
      <c r="E52" s="292" t="inlineStr">
        <is>
          <t>ops/capital budget per 1000 acres of open space - overlay CoD population</t>
        </is>
      </c>
      <c r="F52" s="312" t="n"/>
      <c r="G52" s="312" t="n"/>
      <c r="H52" s="312" t="n"/>
      <c r="I52" s="312" t="n"/>
      <c r="J52" s="312" t="n"/>
      <c r="K52" s="313" t="n"/>
    </row>
    <row r="53" ht="15" customHeight="1" s="210">
      <c r="E53" s="292" t="inlineStr">
        <is>
          <t>COMMUNITY SURVEY: Quality of experience results</t>
        </is>
      </c>
      <c r="F53" s="312" t="n"/>
      <c r="G53" s="312" t="n"/>
      <c r="H53" s="312" t="n"/>
      <c r="I53" s="312" t="n"/>
      <c r="J53" s="312" t="n"/>
      <c r="K53" s="313" t="n"/>
    </row>
    <row r="54" ht="15" customHeight="1" s="210">
      <c r="A54" s="318" t="inlineStr">
        <is>
          <t>Reliable Infrastructure and Community Connectivity</t>
        </is>
      </c>
      <c r="B54" s="319" t="inlineStr">
        <is>
          <t>4.1 Provide consistently safe, reliable, and accessible mobility and transportation services throughout the community.</t>
        </is>
      </c>
      <c r="C54" s="320" t="inlineStr">
        <is>
          <t>Transit Services</t>
        </is>
      </c>
      <c r="D54" s="321" t="inlineStr">
        <is>
          <t>shows how many residents rely on transit for safe, accessible travel</t>
        </is>
      </c>
      <c r="E54" s="322" t="inlineStr">
        <is>
          <t>Total Transit Ridership</t>
        </is>
      </c>
      <c r="F54" s="323" t="n"/>
      <c r="G54" s="323" t="n"/>
      <c r="H54" s="323" t="n"/>
      <c r="I54" s="323" t="n"/>
      <c r="J54" s="323" t="n"/>
      <c r="K54" s="324" t="n"/>
    </row>
    <row r="55" ht="15" customHeight="1" s="210">
      <c r="E55" s="322" t="inlineStr">
        <is>
          <t>Total Rider Dependency / Choice Rider</t>
        </is>
      </c>
      <c r="F55" s="323" t="n"/>
      <c r="G55" s="323" t="n"/>
      <c r="H55" s="323" t="n"/>
      <c r="I55" s="323" t="n"/>
      <c r="J55" s="323" t="n"/>
      <c r="K55" s="324" t="n"/>
    </row>
    <row r="56" ht="15" customHeight="1" s="210">
      <c r="C56" s="231" t="n"/>
      <c r="D56" s="231" t="n"/>
      <c r="E56" s="323" t="inlineStr">
        <is>
          <t>Vacancy Rate and Occupancy Rate</t>
        </is>
      </c>
      <c r="F56" s="323" t="n"/>
      <c r="G56" s="323" t="n"/>
      <c r="H56" s="323" t="n"/>
      <c r="I56" s="323" t="n"/>
      <c r="J56" s="323" t="n"/>
      <c r="K56" s="324" t="n"/>
    </row>
    <row r="57" ht="13.5" customHeight="1" s="210">
      <c r="B57" s="319" t="inlineStr">
        <is>
          <t>4.2 Invest in transportation and infrastructure systems that maximize safety, mobility, innovation, accessibility, and user satisfaction.</t>
        </is>
      </c>
      <c r="C57" s="325" t="inlineStr">
        <is>
          <t xml:space="preserve">Public Works &amp; Municipal Services </t>
        </is>
      </c>
      <c r="D57" s="326" t="inlineStr">
        <is>
          <t>where transportation investments are delivered</t>
        </is>
      </c>
      <c r="E57" s="323" t="n"/>
      <c r="F57" s="323" t="n"/>
      <c r="G57" s="323" t="n"/>
      <c r="H57" s="323" t="n"/>
      <c r="I57" s="323" t="n"/>
      <c r="J57" s="323" t="n"/>
      <c r="K57" s="324" t="n"/>
    </row>
    <row r="58" ht="15" customHeight="1" s="210">
      <c r="B58" s="319" t="inlineStr">
        <is>
          <t>4.3 Uphold a continuous, high-efficiency system for managing water, wastewater, and stormwater systems that adhere to strict compliance with environmental regulations.</t>
        </is>
      </c>
      <c r="C58" s="325" t="inlineStr">
        <is>
          <t>Asset Management</t>
        </is>
      </c>
      <c r="D58" s="326" t="inlineStr">
        <is>
          <t>proper asset management  keeps the utility systems reliable and compliant</t>
        </is>
      </c>
      <c r="E58" s="323" t="n"/>
      <c r="F58" s="323" t="n"/>
      <c r="G58" s="323" t="n"/>
      <c r="H58" s="323" t="n"/>
      <c r="I58" s="323" t="n"/>
      <c r="J58" s="323" t="n"/>
      <c r="K58" s="324" t="n"/>
    </row>
    <row r="59" ht="45" customHeight="1" s="210">
      <c r="C59" s="325" t="inlineStr">
        <is>
          <t xml:space="preserve">Public Works &amp; Municipal Services </t>
        </is>
      </c>
      <c r="D59" s="326" t="inlineStr">
        <is>
          <t>systems directly tied to this objective</t>
        </is>
      </c>
      <c r="E59" s="323" t="n"/>
      <c r="F59" s="323" t="n"/>
      <c r="G59" s="323" t="n"/>
      <c r="H59" s="323" t="n"/>
      <c r="I59" s="323" t="n"/>
      <c r="J59" s="323" t="n"/>
      <c r="K59" s="324" t="n"/>
    </row>
    <row r="60" ht="57" customHeight="1" s="210">
      <c r="B60" s="319" t="inlineStr">
        <is>
          <t>4.4 Maintain and enhance DRO’s status as the key regional hub for aviation services by delivering safe, efficient, and sustainable airport operations and promoting a competitive airline environment.</t>
        </is>
      </c>
      <c r="C60" s="325" t="inlineStr">
        <is>
          <t>Airport Operations</t>
        </is>
      </c>
      <c r="D60" s="326" t="inlineStr">
        <is>
          <t>what keeps DRO a competitive regional hub</t>
        </is>
      </c>
      <c r="E60" s="323" t="n"/>
      <c r="F60" s="323" t="n"/>
      <c r="G60" s="323" t="n"/>
      <c r="H60" s="323" t="n"/>
      <c r="I60" s="323" t="n"/>
      <c r="J60" s="323" t="n"/>
      <c r="K60" s="324" t="n"/>
    </row>
    <row r="61" ht="21" customHeight="1" s="210">
      <c r="B61" s="319" t="inlineStr">
        <is>
          <t>4.5 Provide resources supporting maintenance, expansion, and ensuring reliable and secure IT infrastructure management.</t>
        </is>
      </c>
      <c r="C61" s="325" t="inlineStr">
        <is>
          <t>Asset Management</t>
        </is>
      </c>
      <c r="D61" s="326" t="inlineStr">
        <is>
          <t>proper asset management  keeps the IT systems reliable and compliant</t>
        </is>
      </c>
      <c r="E61" s="323" t="n"/>
      <c r="F61" s="323" t="n"/>
      <c r="G61" s="323" t="n"/>
      <c r="H61" s="323" t="n"/>
      <c r="I61" s="323" t="n"/>
      <c r="J61" s="323" t="n"/>
      <c r="K61" s="324" t="n"/>
    </row>
    <row r="62" ht="15" customHeight="1" s="210">
      <c r="C62" s="320" t="inlineStr">
        <is>
          <t>Information Technology Services</t>
        </is>
      </c>
      <c r="D62" s="321" t="inlineStr">
        <is>
          <t>shows how reliable and secure city it systems are</t>
        </is>
      </c>
      <c r="E62" s="322" t="inlineStr">
        <is>
          <t>Phish Prone Rate</t>
        </is>
      </c>
      <c r="F62" s="323" t="n"/>
      <c r="G62" s="323" t="n"/>
      <c r="H62" s="323" t="n"/>
      <c r="I62" s="323" t="n"/>
      <c r="J62" s="323" t="n"/>
      <c r="K62" s="324" t="n"/>
    </row>
    <row r="63" ht="15" customHeight="1" s="210">
      <c r="E63" s="322" t="inlineStr">
        <is>
          <t>Network Uptime</t>
        </is>
      </c>
      <c r="F63" s="323" t="n"/>
      <c r="G63" s="323" t="n"/>
      <c r="H63" s="323" t="n"/>
      <c r="I63" s="323" t="n"/>
      <c r="J63" s="323" t="n"/>
      <c r="K63" s="324" t="n"/>
    </row>
    <row r="64" ht="15" customHeight="1" s="210">
      <c r="E64" s="323" t="inlineStr">
        <is>
          <t>PIT Scores</t>
        </is>
      </c>
      <c r="F64" s="323" t="n"/>
      <c r="G64" s="323" t="n"/>
      <c r="H64" s="323" t="n"/>
      <c r="I64" s="323" t="n"/>
      <c r="J64" s="323" t="n"/>
      <c r="K64" s="324" t="n"/>
    </row>
    <row r="65" ht="15" customHeight="1" s="210">
      <c r="E65" s="323" t="inlineStr">
        <is>
          <t>Help Desk Resolution within SLA</t>
        </is>
      </c>
      <c r="F65" s="323" t="n"/>
      <c r="G65" s="323" t="n"/>
      <c r="H65" s="323" t="n"/>
      <c r="I65" s="323" t="n"/>
      <c r="J65" s="323" t="n"/>
      <c r="K65" s="324" t="n"/>
    </row>
    <row r="66" ht="15" customHeight="1" s="210">
      <c r="C66" s="231" t="n"/>
      <c r="D66" s="231" t="n"/>
      <c r="E66" s="323" t="inlineStr">
        <is>
          <t>IT Liaison Survey</t>
        </is>
      </c>
      <c r="F66" s="323" t="n"/>
      <c r="G66" s="323" t="n"/>
      <c r="H66" s="323" t="n"/>
      <c r="I66" s="323" t="n"/>
      <c r="J66" s="323" t="n"/>
      <c r="K66" s="324" t="n"/>
    </row>
    <row r="67" ht="15" customHeight="1" s="210">
      <c r="B67" s="319" t="inlineStr">
        <is>
          <t xml:space="preserve">4.6 Continue planned expansion of City surface transportation system and maintain existing assets within Right of Way </t>
        </is>
      </c>
      <c r="C67" s="325" t="inlineStr">
        <is>
          <t xml:space="preserve">Public Works &amp; Municipal Services </t>
        </is>
      </c>
      <c r="D67" s="326" t="inlineStr">
        <is>
          <t xml:space="preserve">streets and assets within the right of way </t>
        </is>
      </c>
      <c r="E67" s="323" t="n"/>
      <c r="F67" s="323" t="n"/>
      <c r="G67" s="323" t="n"/>
      <c r="H67" s="323" t="n"/>
      <c r="I67" s="323" t="n"/>
      <c r="J67" s="323" t="n"/>
      <c r="K67" s="324" t="n"/>
    </row>
    <row r="68" ht="15" customHeight="1" s="210">
      <c r="C68" s="320" t="inlineStr">
        <is>
          <t>Transit Services (ks14)</t>
        </is>
      </c>
      <c r="D68" s="321" t="inlineStr">
        <is>
          <t>shows how well the transportation system and right of way are being used</t>
        </is>
      </c>
      <c r="E68" s="322" t="inlineStr">
        <is>
          <t>Total Transit Ridership</t>
        </is>
      </c>
      <c r="F68" s="323" t="n"/>
      <c r="G68" s="323" t="n"/>
      <c r="H68" s="323" t="n"/>
      <c r="I68" s="323" t="n"/>
      <c r="J68" s="323" t="n"/>
      <c r="K68" s="324" t="n"/>
    </row>
    <row r="69" ht="15" customHeight="1" s="210">
      <c r="E69" s="323" t="inlineStr">
        <is>
          <t>Total Rider Dependency / Choice Rider</t>
        </is>
      </c>
      <c r="F69" s="323" t="n"/>
      <c r="G69" s="323" t="n"/>
      <c r="H69" s="323" t="n"/>
      <c r="I69" s="323" t="n"/>
      <c r="J69" s="323" t="n"/>
      <c r="K69" s="324" t="n"/>
    </row>
    <row r="70" ht="15" customHeight="1" s="210">
      <c r="C70" s="231" t="n"/>
      <c r="D70" s="231" t="n"/>
      <c r="E70" s="322" t="inlineStr">
        <is>
          <t>Vacancy Rate and Occupancy Rate</t>
        </is>
      </c>
      <c r="F70" s="323" t="n"/>
      <c r="G70" s="323" t="n"/>
      <c r="H70" s="323" t="n"/>
      <c r="I70" s="323" t="n"/>
      <c r="J70" s="323" t="n"/>
      <c r="K70" s="324" t="n"/>
    </row>
    <row r="71" ht="15" customHeight="1" s="210">
      <c r="A71" s="327" t="inlineStr">
        <is>
          <t>Engaged and Informed Community</t>
        </is>
      </c>
      <c r="B71" s="328" t="inlineStr">
        <is>
          <t>5.1 Champion a systematic approach where community engagement, education, outreach and communication thrive as cornerstones of civic involvement.</t>
        </is>
      </c>
      <c r="C71" s="329" t="inlineStr">
        <is>
          <t>Public Information &amp; Community Engagement</t>
        </is>
      </c>
      <c r="D71" s="330" t="inlineStr">
        <is>
          <t>engagement on city channels shows whether outreach is drawing residents</t>
        </is>
      </c>
      <c r="E71" s="331" t="n"/>
      <c r="F71" s="331" t="n"/>
      <c r="G71" s="331" t="n"/>
      <c r="H71" s="331" t="n"/>
      <c r="I71" s="331" t="n"/>
      <c r="J71" s="331" t="n"/>
      <c r="K71" s="332" t="n"/>
    </row>
    <row r="72" ht="15" customHeight="1" s="210">
      <c r="C72" s="329" t="inlineStr">
        <is>
          <t>City Clerk and Records Management</t>
        </is>
      </c>
      <c r="D72" s="330" t="inlineStr">
        <is>
          <t>voter turnout and timely agenda posting show how well residents can take part in local government</t>
        </is>
      </c>
      <c r="E72" s="331" t="inlineStr">
        <is>
          <t>Records Request Response Rate</t>
        </is>
      </c>
      <c r="F72" s="331" t="n"/>
      <c r="G72" s="331" t="n"/>
      <c r="H72" s="331" t="n"/>
      <c r="I72" s="331" t="n"/>
      <c r="J72" s="331" t="n"/>
      <c r="K72" s="332" t="n"/>
    </row>
    <row r="73" ht="15" customHeight="1" s="210">
      <c r="E73" s="322" t="inlineStr">
        <is>
          <t>Agenda Posting time</t>
        </is>
      </c>
      <c r="F73" s="331" t="n"/>
      <c r="G73" s="331" t="n"/>
      <c r="H73" s="331" t="n"/>
      <c r="I73" s="331" t="n"/>
      <c r="J73" s="331" t="n"/>
      <c r="K73" s="332" t="n"/>
    </row>
    <row r="74" ht="15" customHeight="1" s="210">
      <c r="E74" s="331" t="inlineStr">
        <is>
          <t>Liquor and marijuana license turnaround</t>
        </is>
      </c>
      <c r="F74" s="331" t="n"/>
      <c r="G74" s="331" t="n"/>
      <c r="H74" s="331" t="n"/>
      <c r="I74" s="331" t="n"/>
      <c r="J74" s="331" t="n"/>
      <c r="K74" s="332" t="n"/>
    </row>
    <row r="75" ht="15" customHeight="1" s="210">
      <c r="E75" s="331" t="inlineStr">
        <is>
          <t>Business License Turnaround</t>
        </is>
      </c>
      <c r="F75" s="331" t="n"/>
      <c r="G75" s="331" t="n"/>
      <c r="H75" s="331" t="n"/>
      <c r="I75" s="331" t="n"/>
      <c r="J75" s="331" t="n"/>
      <c r="K75" s="332" t="n"/>
    </row>
    <row r="76" ht="15" customHeight="1" s="210">
      <c r="E76" s="322" t="inlineStr">
        <is>
          <t>Voter turnout (%)</t>
        </is>
      </c>
      <c r="F76" s="331" t="n"/>
      <c r="G76" s="331" t="n"/>
      <c r="H76" s="331" t="n"/>
      <c r="I76" s="331" t="n"/>
      <c r="J76" s="331" t="n"/>
      <c r="K76" s="332" t="n"/>
    </row>
    <row r="77" ht="15" customHeight="1" s="210">
      <c r="B77" s="328" t="inlineStr">
        <is>
          <t xml:space="preserve">5.2 Cultivate and leverage communication systems through convenient, open, and accessible information. </t>
        </is>
      </c>
      <c r="C77" s="333" t="inlineStr">
        <is>
          <t>City Clerk and Records Management</t>
        </is>
      </c>
      <c r="D77" s="334" t="inlineStr">
        <is>
          <t>records request response times and agenda posting show how quickly residents can get pubhlic info</t>
        </is>
      </c>
      <c r="E77" s="322" t="inlineStr">
        <is>
          <t>Records Request Response Rate</t>
        </is>
      </c>
      <c r="F77" s="331" t="n"/>
      <c r="G77" s="331" t="n"/>
      <c r="H77" s="331" t="n"/>
      <c r="I77" s="331" t="n"/>
      <c r="J77" s="331" t="n"/>
      <c r="K77" s="332" t="n"/>
    </row>
    <row r="78" ht="15" customHeight="1" s="210">
      <c r="E78" s="322" t="inlineStr">
        <is>
          <t>Agenda Posting time</t>
        </is>
      </c>
      <c r="F78" s="331" t="n"/>
      <c r="G78" s="331" t="n"/>
      <c r="H78" s="331" t="n"/>
      <c r="I78" s="331" t="n"/>
      <c r="J78" s="331" t="n"/>
      <c r="K78" s="332" t="n"/>
    </row>
    <row r="79" ht="15" customHeight="1" s="210">
      <c r="E79" s="331" t="inlineStr">
        <is>
          <t>Liquor and marijuana license turnaround</t>
        </is>
      </c>
      <c r="F79" s="331" t="n"/>
      <c r="G79" s="331" t="n"/>
      <c r="H79" s="331" t="n"/>
      <c r="I79" s="331" t="n"/>
      <c r="J79" s="331" t="n"/>
      <c r="K79" s="332" t="n"/>
    </row>
    <row r="80" ht="15" customHeight="1" s="210">
      <c r="E80" s="331" t="inlineStr">
        <is>
          <t>Business License Turnaround</t>
        </is>
      </c>
      <c r="F80" s="331" t="n"/>
      <c r="G80" s="331" t="n"/>
      <c r="H80" s="331" t="n"/>
      <c r="I80" s="331" t="n"/>
      <c r="J80" s="331" t="n"/>
      <c r="K80" s="332" t="n"/>
    </row>
    <row r="81" ht="15" customHeight="1" s="210">
      <c r="C81" s="231" t="n"/>
      <c r="D81" s="231" t="n"/>
      <c r="E81" s="331" t="inlineStr">
        <is>
          <t>Voter turnout (%)</t>
        </is>
      </c>
      <c r="F81" s="331" t="n"/>
      <c r="G81" s="331" t="n"/>
      <c r="H81" s="331" t="n"/>
      <c r="I81" s="331" t="n"/>
      <c r="J81" s="331" t="n"/>
      <c r="K81" s="332" t="n"/>
    </row>
    <row r="82" ht="15" customHeight="1" s="210">
      <c r="C82" s="329" t="inlineStr">
        <is>
          <t>Public Information &amp; Community Engagement</t>
        </is>
      </c>
      <c r="D82" s="330" t="inlineStr">
        <is>
          <t>website, socials, and newsletter reach show how easily residents can find city info</t>
        </is>
      </c>
      <c r="E82" s="331" t="n"/>
      <c r="F82" s="331" t="n"/>
      <c r="G82" s="331" t="n"/>
      <c r="H82" s="331" t="n"/>
      <c r="I82" s="331" t="n"/>
      <c r="J82" s="331" t="n"/>
      <c r="K82" s="332" t="n"/>
    </row>
    <row r="83" ht="15" customHeight="1" s="210">
      <c r="C83" s="329" t="inlineStr">
        <is>
          <t>Library &amp; Learning Services</t>
        </is>
      </c>
      <c r="D83" s="330" t="inlineStr">
        <is>
          <t>shows residents have free, convenient access to info and learning resources</t>
        </is>
      </c>
      <c r="E83" s="322" t="inlineStr">
        <is>
          <t>visitation</t>
        </is>
      </c>
      <c r="F83" s="331" t="n"/>
      <c r="G83" s="331" t="n"/>
      <c r="H83" s="331" t="n"/>
      <c r="I83" s="331" t="n"/>
      <c r="J83" s="331" t="n"/>
      <c r="K83" s="332" t="n"/>
    </row>
    <row r="84" ht="15" customHeight="1" s="210">
      <c r="E84" s="322" t="inlineStr">
        <is>
          <t>circulation</t>
        </is>
      </c>
      <c r="F84" s="331" t="n"/>
      <c r="G84" s="331" t="n"/>
      <c r="H84" s="331" t="n"/>
      <c r="I84" s="331" t="n"/>
      <c r="J84" s="331" t="n"/>
      <c r="K84" s="332" t="n"/>
    </row>
    <row r="85" ht="15" customHeight="1" s="210">
      <c r="C85" s="329" t="inlineStr">
        <is>
          <t>Financial Management &amp; Accountability</t>
        </is>
      </c>
      <c r="D85" s="335" t="inlineStr">
        <is>
          <t>financial transparency</t>
        </is>
      </c>
      <c r="E85" s="331" t="n"/>
      <c r="F85" s="331" t="n"/>
      <c r="G85" s="331" t="n"/>
      <c r="H85" s="331" t="n"/>
      <c r="I85" s="331" t="n"/>
      <c r="J85" s="331" t="n"/>
      <c r="K85" s="332" t="n"/>
    </row>
    <row r="86" ht="15" customHeight="1" s="210">
      <c r="A86" s="336" t="inlineStr">
        <is>
          <t>Strategic Workforce Development</t>
        </is>
      </c>
      <c r="B86" s="337" t="inlineStr">
        <is>
          <t>6.1 Foster a workplace culture designed to attract and retain diverse, skilled and engaged staff members, which enhances employee satisfaction, engagement and performance by offering an environment reflective of the City’s commitment to excellence and strategic alignment.</t>
        </is>
      </c>
      <c r="C86" s="338" t="inlineStr">
        <is>
          <t>Human Resources &amp; Workforce Development</t>
        </is>
      </c>
      <c r="D86" s="339" t="inlineStr">
        <is>
          <t>show if the city's workplace culture attracts and keeps skilled staff</t>
        </is>
      </c>
      <c r="E86" s="322" t="inlineStr">
        <is>
          <t>Employee Engagement Rate (EE survey)</t>
        </is>
      </c>
      <c r="F86" s="340" t="n"/>
      <c r="G86" s="340" t="n"/>
      <c r="H86" s="340" t="n"/>
      <c r="I86" s="340" t="n"/>
      <c r="J86" s="340" t="n"/>
      <c r="K86" s="341" t="n"/>
    </row>
    <row r="87" ht="15" customHeight="1" s="210">
      <c r="E87" s="322" t="inlineStr">
        <is>
          <t>Hiring: time to hire from NeoGov</t>
        </is>
      </c>
      <c r="F87" s="340" t="n"/>
      <c r="G87" s="340" t="n"/>
      <c r="H87" s="340" t="n"/>
      <c r="I87" s="340" t="n"/>
      <c r="J87" s="340" t="n"/>
      <c r="K87" s="341" t="n"/>
    </row>
    <row r="88" ht="15" customHeight="1" s="210">
      <c r="E88" s="340" t="inlineStr">
        <is>
          <t>Retain &amp; Develop: Internal promotion rate</t>
        </is>
      </c>
      <c r="F88" s="340" t="n"/>
      <c r="G88" s="340" t="n"/>
      <c r="H88" s="340" t="n"/>
      <c r="I88" s="340" t="n"/>
      <c r="J88" s="340" t="n"/>
      <c r="K88" s="341" t="n"/>
    </row>
    <row r="89" ht="15" customHeight="1" s="210">
      <c r="C89" s="231" t="n"/>
      <c r="D89" s="231" t="n"/>
      <c r="E89" s="322" t="inlineStr">
        <is>
          <t>Retain &amp; develop: turnover rate by voluntary vs not</t>
        </is>
      </c>
      <c r="F89" s="340" t="n"/>
      <c r="G89" s="340" t="n"/>
      <c r="H89" s="340" t="n"/>
      <c r="I89" s="340" t="n"/>
      <c r="J89" s="340" t="n"/>
      <c r="K89" s="341" t="n"/>
    </row>
    <row r="90" ht="15" customHeight="1" s="210">
      <c r="C90" s="338" t="inlineStr">
        <is>
          <t>Community Development &amp; Planning</t>
        </is>
      </c>
      <c r="D90" s="339" t="inlineStr">
        <is>
          <t>affordability is a major factor is whether the city can attract and keep employees in durango</t>
        </is>
      </c>
      <c r="E90" s="340" t="inlineStr">
        <is>
          <t>Total Regulated Affordable Housing Units</t>
        </is>
      </c>
      <c r="F90" s="340" t="n"/>
      <c r="G90" s="340" t="n"/>
      <c r="H90" s="340" t="n"/>
      <c r="I90" s="340" t="n"/>
      <c r="J90" s="340" t="n"/>
      <c r="K90" s="341" t="n"/>
    </row>
    <row r="91" ht="15" customHeight="1" s="210">
      <c r="E91" s="340" t="inlineStr">
        <is>
          <t>Acres of land annexed and sorted by zone</t>
        </is>
      </c>
      <c r="F91" s="340" t="n"/>
      <c r="G91" s="340" t="n"/>
      <c r="H91" s="340" t="n"/>
      <c r="I91" s="340" t="n"/>
      <c r="J91" s="340" t="n"/>
      <c r="K91" s="341" t="n"/>
    </row>
    <row r="92" ht="15" customHeight="1" s="210">
      <c r="E92" s="340" t="inlineStr">
        <is>
          <t>Building permits issued within 48 hours</t>
        </is>
      </c>
      <c r="F92" s="340" t="n"/>
      <c r="G92" s="340" t="n"/>
      <c r="H92" s="340" t="n"/>
      <c r="I92" s="340" t="n"/>
      <c r="J92" s="340" t="n"/>
      <c r="K92" s="341" t="n"/>
    </row>
    <row r="93" ht="30" customHeight="1" s="210">
      <c r="B93" s="231" t="n"/>
      <c r="C93" s="231" t="n"/>
      <c r="D93" s="231" t="n"/>
      <c r="E93" s="340" t="inlineStr">
        <is>
          <t xml:space="preserve">Land use permits: Median number of days for application submittal to approval/completion (extreme outliers) - pre app, sign permits, limited use permits, </t>
        </is>
      </c>
      <c r="F93" s="340" t="n"/>
      <c r="G93" s="340" t="n"/>
      <c r="H93" s="340" t="n"/>
      <c r="I93" s="340" t="n"/>
      <c r="J93" s="340" t="n"/>
      <c r="K93" s="341" t="n"/>
    </row>
    <row r="94" ht="27" customHeight="1" s="210">
      <c r="B94" s="337" t="inlineStr">
        <is>
          <t>6.2 Ensure a comprehensive career progression strategy that readies employees for key roles and leadership positions in alignment with the City’s long-term goals.</t>
        </is>
      </c>
      <c r="C94" s="342" t="inlineStr">
        <is>
          <t>Administrative Leadership and Governance</t>
        </is>
      </c>
      <c r="D94" s="343" t="inlineStr">
        <is>
          <t>Leadership programs prepare employees to step into key roles (CFT involvement and Strat Planning)</t>
        </is>
      </c>
      <c r="E94" s="340" t="n"/>
      <c r="F94" s="340" t="n"/>
      <c r="G94" s="340" t="n"/>
      <c r="H94" s="340" t="n"/>
      <c r="I94" s="340" t="n"/>
      <c r="J94" s="340" t="n"/>
      <c r="K94" s="341" t="n"/>
    </row>
    <row r="95" ht="15" customHeight="1" s="210">
      <c r="C95" s="338" t="inlineStr">
        <is>
          <t>Human Resources &amp; Workforce Development</t>
        </is>
      </c>
      <c r="D95" s="339" t="inlineStr">
        <is>
          <t>shows whether employees are being developed for key leaderhip roles</t>
        </is>
      </c>
      <c r="E95" s="322" t="inlineStr">
        <is>
          <t>Employee Engagement Rate (EE survey)</t>
        </is>
      </c>
      <c r="F95" s="340" t="n"/>
      <c r="G95" s="340" t="n"/>
      <c r="H95" s="340" t="n"/>
      <c r="I95" s="340" t="n"/>
      <c r="J95" s="340" t="n"/>
      <c r="K95" s="341" t="n"/>
    </row>
    <row r="96" ht="15" customHeight="1" s="210">
      <c r="E96" s="340" t="inlineStr">
        <is>
          <t>Hiring: time to hire from NeoGov</t>
        </is>
      </c>
      <c r="F96" s="340" t="n"/>
      <c r="G96" s="340" t="n"/>
      <c r="H96" s="340" t="n"/>
      <c r="I96" s="340" t="n"/>
      <c r="J96" s="340" t="n"/>
      <c r="K96" s="341" t="n"/>
    </row>
    <row r="97" ht="15" customHeight="1" s="210">
      <c r="E97" s="322" t="inlineStr">
        <is>
          <t>Retain &amp; Develop: Internal promotion rate</t>
        </is>
      </c>
      <c r="F97" s="340" t="n"/>
      <c r="G97" s="340" t="n"/>
      <c r="H97" s="340" t="n"/>
      <c r="I97" s="340" t="n"/>
      <c r="J97" s="340" t="n"/>
      <c r="K97" s="341" t="n"/>
    </row>
    <row r="98" ht="15" customHeight="1" s="210">
      <c r="B98" s="231" t="n"/>
      <c r="C98" s="231" t="n"/>
      <c r="D98" s="231" t="n"/>
      <c r="E98" s="340" t="inlineStr">
        <is>
          <t>Retain &amp; develop: turnover rate by voluntary vs not</t>
        </is>
      </c>
      <c r="F98" s="340" t="n"/>
      <c r="G98" s="340" t="n"/>
      <c r="H98" s="340" t="n"/>
      <c r="I98" s="340" t="n"/>
      <c r="J98" s="340" t="n"/>
      <c r="K98" s="341" t="n"/>
    </row>
    <row r="99" ht="15" customHeight="1" s="210">
      <c r="B99" s="344" t="inlineStr">
        <is>
          <t xml:space="preserve">6.3 Facilitate workforce preparedness through management of City processes, capacity and capability, ensuring optimization of staff skill levels designed to meet operational needs and evolving municipal demands. </t>
        </is>
      </c>
      <c r="C99" s="338" t="inlineStr">
        <is>
          <t>Information Technology Services</t>
        </is>
      </c>
      <c r="D99" s="339" t="inlineStr">
        <is>
          <t>security awareness and effective IT support show staff have the skills and tools to do their jobs</t>
        </is>
      </c>
      <c r="E99" s="322" t="inlineStr">
        <is>
          <t>Phish Prone Rate</t>
        </is>
      </c>
      <c r="F99" s="340" t="n"/>
      <c r="G99" s="340" t="n"/>
      <c r="H99" s="340" t="n"/>
      <c r="I99" s="340" t="n"/>
      <c r="J99" s="340" t="n"/>
      <c r="K99" s="341" t="n"/>
    </row>
    <row r="100" ht="15" customHeight="1" s="210">
      <c r="E100" s="322" t="inlineStr">
        <is>
          <t>Network Uptime</t>
        </is>
      </c>
      <c r="F100" s="340" t="n"/>
      <c r="G100" s="340" t="n"/>
      <c r="H100" s="340" t="n"/>
      <c r="I100" s="340" t="n"/>
      <c r="J100" s="340" t="n"/>
      <c r="K100" s="341" t="n"/>
    </row>
    <row r="101" ht="15" customHeight="1" s="210">
      <c r="E101" s="322" t="inlineStr">
        <is>
          <t>PIT Scores</t>
        </is>
      </c>
      <c r="F101" s="340" t="n"/>
      <c r="G101" s="340" t="n"/>
      <c r="H101" s="340" t="n"/>
      <c r="I101" s="340" t="n"/>
      <c r="J101" s="340" t="n"/>
      <c r="K101" s="341" t="n"/>
    </row>
    <row r="102" ht="15" customHeight="1" s="210">
      <c r="E102" s="322" t="inlineStr">
        <is>
          <t>Help Desk Resolution within SLA</t>
        </is>
      </c>
      <c r="F102" s="340" t="n"/>
      <c r="G102" s="340" t="n"/>
      <c r="H102" s="340" t="n"/>
      <c r="I102" s="340" t="n"/>
      <c r="J102" s="340" t="n"/>
      <c r="K102" s="341" t="n"/>
    </row>
    <row r="103" ht="15" customHeight="1" s="210">
      <c r="C103" s="231" t="n"/>
      <c r="D103" s="231" t="n"/>
      <c r="E103" s="322" t="inlineStr">
        <is>
          <t>IT Liaison Survey</t>
        </is>
      </c>
      <c r="F103" s="340" t="n"/>
      <c r="G103" s="340" t="n"/>
      <c r="H103" s="340" t="n"/>
      <c r="I103" s="340" t="n"/>
      <c r="J103" s="340" t="n"/>
      <c r="K103" s="341" t="n"/>
    </row>
    <row r="104" ht="15" customHeight="1" s="210">
      <c r="C104" s="342" t="inlineStr">
        <is>
          <t>Legal Services</t>
        </is>
      </c>
      <c r="D104" s="345" t="inlineStr">
        <is>
          <t>safety training and DOT compliance keep staff certified, safe, and ready to work</t>
        </is>
      </c>
      <c r="E104" s="340" t="n"/>
      <c r="F104" s="340" t="n"/>
      <c r="G104" s="340" t="n"/>
      <c r="H104" s="340" t="n"/>
      <c r="I104" s="340" t="n"/>
      <c r="J104" s="340" t="n"/>
      <c r="K104" s="341" t="n"/>
    </row>
    <row r="105" ht="15" customHeight="1" s="210">
      <c r="C105" s="342" t="inlineStr">
        <is>
          <t>Administrative Leadership and Governance</t>
        </is>
      </c>
      <c r="D105" s="343" t="inlineStr">
        <is>
          <t>Org performance management and strat planning make sure city processes match operational needs</t>
        </is>
      </c>
      <c r="E105" s="340" t="n"/>
      <c r="F105" s="340" t="n"/>
      <c r="G105" s="340" t="n"/>
      <c r="H105" s="340" t="n"/>
      <c r="I105" s="340" t="n"/>
      <c r="J105" s="340" t="n"/>
      <c r="K105" s="341" t="n"/>
    </row>
    <row r="106" ht="15" customHeight="1" s="210">
      <c r="C106" s="338" t="inlineStr">
        <is>
          <t>Human Resources &amp; Workforce Development</t>
        </is>
      </c>
      <c r="D106" s="339" t="inlineStr">
        <is>
          <t>shows how quickly the city can fill positions to meet operational needs</t>
        </is>
      </c>
      <c r="E106" s="322" t="inlineStr">
        <is>
          <t>Employee Engagement Rate (EE survey)</t>
        </is>
      </c>
      <c r="F106" s="340" t="n"/>
      <c r="G106" s="340" t="n"/>
      <c r="H106" s="340" t="n"/>
      <c r="I106" s="340" t="n"/>
      <c r="J106" s="340" t="n"/>
      <c r="K106" s="341" t="n"/>
    </row>
    <row r="107" ht="15" customHeight="1" s="210">
      <c r="E107" s="322" t="inlineStr">
        <is>
          <t>Hiring: time to hire from NeoGov</t>
        </is>
      </c>
      <c r="F107" s="340" t="n"/>
      <c r="G107" s="340" t="n"/>
      <c r="H107" s="340" t="n"/>
      <c r="I107" s="340" t="n"/>
      <c r="J107" s="340" t="n"/>
      <c r="K107" s="341" t="n"/>
    </row>
    <row r="108" ht="15" customHeight="1" s="210">
      <c r="E108" s="340" t="inlineStr">
        <is>
          <t>Retain &amp; Develop: Internal promotion rate</t>
        </is>
      </c>
      <c r="F108" s="340" t="n"/>
      <c r="G108" s="340" t="n"/>
      <c r="H108" s="340" t="n"/>
      <c r="I108" s="340" t="n"/>
      <c r="J108" s="340" t="n"/>
      <c r="K108" s="341" t="n"/>
    </row>
    <row r="109" ht="15" customHeight="1" s="210">
      <c r="C109" s="231" t="n"/>
      <c r="D109" s="231" t="n"/>
      <c r="E109" s="340" t="inlineStr">
        <is>
          <t>Retain &amp; develop: turnover rate by voluntary vs not</t>
        </is>
      </c>
      <c r="F109" s="340" t="n"/>
      <c r="G109" s="340" t="n"/>
      <c r="H109" s="340" t="n"/>
      <c r="I109" s="340" t="n"/>
      <c r="J109" s="340" t="n"/>
      <c r="K109" s="341" t="n"/>
    </row>
    <row r="110" ht="15" customHeight="1" s="210">
      <c r="C110" s="342" t="inlineStr">
        <is>
          <t>Financial Management &amp; Accountability</t>
        </is>
      </c>
      <c r="D110" s="343" t="inlineStr">
        <is>
          <t>efficiencies for processes that impact every department, and let departments run smoothly</t>
        </is>
      </c>
      <c r="E110" s="340" t="n"/>
      <c r="F110" s="340" t="n"/>
      <c r="G110" s="340" t="n"/>
      <c r="H110" s="340" t="n"/>
      <c r="I110" s="340" t="n"/>
      <c r="J110" s="340" t="n"/>
      <c r="K110" s="341" t="inlineStr">
        <is>
          <t xml:space="preserve">core city processes every department runs through and depends on </t>
        </is>
      </c>
    </row>
    <row r="111" ht="13.5" customFormat="1" customHeight="1" s="286">
      <c r="B111" s="346" t="n"/>
      <c r="C111" s="347" t="n"/>
      <c r="D111" s="285" t="n"/>
    </row>
    <row r="112" ht="13.5" customFormat="1" customHeight="1" s="286">
      <c r="B112" s="346" t="n"/>
      <c r="C112" s="347" t="n"/>
      <c r="D112" s="285" t="n"/>
    </row>
    <row r="113" ht="13.5" customFormat="1" customHeight="1" s="286">
      <c r="B113" s="346" t="n"/>
      <c r="C113" s="347" t="n"/>
      <c r="D113" s="285" t="n"/>
    </row>
    <row r="114" ht="13.5" customFormat="1" customHeight="1" s="286">
      <c r="B114" s="346" t="n"/>
      <c r="C114" s="347" t="n"/>
      <c r="D114" s="285" t="n"/>
    </row>
    <row r="115" ht="13.5" customFormat="1" customHeight="1" s="286">
      <c r="B115" s="346" t="n"/>
      <c r="C115" s="347" t="n"/>
      <c r="D115" s="285" t="n"/>
      <c r="E115" s="282" t="n"/>
    </row>
    <row r="116" ht="13.5" customFormat="1" customHeight="1" s="286">
      <c r="B116" s="346" t="n"/>
      <c r="C116" s="347" t="n"/>
      <c r="D116" s="285" t="n"/>
    </row>
    <row r="117" ht="13.5" customFormat="1" customHeight="1" s="286">
      <c r="B117" s="346" t="n"/>
      <c r="C117" s="347" t="n"/>
      <c r="D117" s="285" t="n"/>
      <c r="E117" s="282" t="n"/>
    </row>
    <row r="118" ht="13.5" customFormat="1" customHeight="1" s="286">
      <c r="B118" s="346" t="n"/>
      <c r="C118" s="347" t="n"/>
      <c r="D118" s="285" t="n"/>
    </row>
    <row r="119" ht="13.5" customFormat="1" customHeight="1" s="286">
      <c r="B119" s="346" t="n"/>
      <c r="C119" s="347" t="n"/>
      <c r="D119" s="285" t="n"/>
      <c r="E119" s="282" t="n"/>
    </row>
    <row r="120" ht="13.5" customFormat="1" customHeight="1" s="286">
      <c r="B120" s="346" t="n"/>
      <c r="C120" s="347" t="n"/>
      <c r="D120" s="285" t="n"/>
    </row>
    <row r="121" ht="13.5" customFormat="1" customHeight="1" s="286">
      <c r="B121" s="346" t="n"/>
      <c r="C121" s="347" t="n"/>
      <c r="D121" s="285" t="n"/>
      <c r="E121" s="282" t="n"/>
    </row>
    <row r="122" ht="13.5" customFormat="1" customHeight="1" s="286">
      <c r="B122" s="346" t="n"/>
      <c r="C122" s="347" t="n"/>
      <c r="D122" s="285" t="n"/>
    </row>
    <row r="123" ht="13.5" customFormat="1" customHeight="1" s="286">
      <c r="B123" s="346" t="n"/>
      <c r="C123" s="347" t="n"/>
      <c r="D123" s="285" t="n"/>
    </row>
    <row r="124" ht="13.5" customFormat="1" customHeight="1" s="286">
      <c r="B124" s="346" t="n"/>
      <c r="C124" s="347" t="n"/>
      <c r="D124" s="285" t="n"/>
    </row>
    <row r="125" ht="13.5" customFormat="1" customHeight="1" s="286">
      <c r="B125" s="346" t="n"/>
      <c r="C125" s="347" t="n"/>
      <c r="D125" s="285" t="n"/>
    </row>
    <row r="126" ht="13.5" customFormat="1" customHeight="1" s="286">
      <c r="B126" s="346" t="n"/>
      <c r="C126" s="347" t="n"/>
      <c r="D126" s="285" t="n"/>
    </row>
    <row r="127" ht="13.5" customFormat="1" customHeight="1" s="286">
      <c r="B127" s="346" t="n"/>
      <c r="C127" s="347" t="n"/>
      <c r="D127" s="285" t="n"/>
    </row>
    <row r="128" ht="13.5" customFormat="1" customHeight="1" s="286">
      <c r="B128" s="346" t="n"/>
      <c r="C128" s="347" t="n"/>
      <c r="D128" s="285" t="n"/>
    </row>
    <row r="129" ht="13.5" customFormat="1" customHeight="1" s="286">
      <c r="B129" s="346" t="n"/>
      <c r="C129" s="347" t="n"/>
      <c r="D129" s="285" t="n"/>
    </row>
    <row r="130" ht="13.5" customFormat="1" customHeight="1" s="286">
      <c r="B130" s="346" t="n"/>
      <c r="C130" s="347" t="n"/>
      <c r="D130" s="285" t="n"/>
    </row>
    <row r="131" ht="13.5" customFormat="1" customHeight="1" s="286">
      <c r="B131" s="346" t="n"/>
      <c r="C131" s="347" t="n"/>
      <c r="D131" s="285" t="n"/>
    </row>
    <row r="132" ht="13.5" customFormat="1" customHeight="1" s="286">
      <c r="B132" s="346" t="n"/>
      <c r="C132" s="347" t="n"/>
      <c r="D132" s="285" t="n"/>
    </row>
    <row r="133" ht="13.5" customFormat="1" customHeight="1" s="286">
      <c r="B133" s="346" t="n"/>
      <c r="C133" s="347" t="n"/>
      <c r="D133" s="285" t="n"/>
    </row>
    <row r="134" ht="13.5" customFormat="1" customHeight="1" s="286">
      <c r="B134" s="346" t="n"/>
      <c r="C134" s="347" t="n"/>
      <c r="D134" s="285" t="n"/>
    </row>
    <row r="135" ht="13.5" customFormat="1" customHeight="1" s="286">
      <c r="B135" s="346" t="n"/>
      <c r="C135" s="347" t="n"/>
      <c r="D135" s="285" t="n"/>
    </row>
    <row r="136" ht="13.5" customFormat="1" customHeight="1" s="286">
      <c r="B136" s="346" t="n"/>
      <c r="C136" s="347" t="n"/>
      <c r="D136" s="285" t="n"/>
    </row>
    <row r="137" ht="13.5" customFormat="1" customHeight="1" s="286">
      <c r="B137" s="346" t="n"/>
      <c r="C137" s="347" t="n"/>
      <c r="D137" s="285" t="n"/>
    </row>
    <row r="138" ht="13.5" customFormat="1" customHeight="1" s="286">
      <c r="B138" s="346" t="n"/>
      <c r="C138" s="347" t="n"/>
      <c r="D138" s="285" t="n"/>
    </row>
    <row r="139" ht="13.5" customFormat="1" customHeight="1" s="286">
      <c r="B139" s="346" t="n"/>
      <c r="C139" s="347" t="n"/>
      <c r="D139" s="285" t="n"/>
    </row>
    <row r="140" ht="13.5" customFormat="1" customHeight="1" s="286">
      <c r="B140" s="346" t="n"/>
      <c r="C140" s="347" t="n"/>
      <c r="D140" s="285" t="n"/>
    </row>
    <row r="141" ht="13.5" customFormat="1" customHeight="1" s="286">
      <c r="B141" s="346" t="n"/>
      <c r="C141" s="347" t="n"/>
      <c r="D141" s="285" t="n"/>
    </row>
    <row r="142" ht="13.5" customFormat="1" customHeight="1" s="286">
      <c r="B142" s="346" t="n"/>
      <c r="C142" s="347" t="n"/>
      <c r="D142" s="285" t="n"/>
    </row>
    <row r="143" ht="13.5" customFormat="1" customHeight="1" s="286">
      <c r="B143" s="346" t="n"/>
      <c r="C143" s="347" t="n"/>
      <c r="D143" s="285" t="n"/>
    </row>
    <row r="144" ht="13.5" customFormat="1" customHeight="1" s="286">
      <c r="B144" s="346" t="n"/>
      <c r="C144" s="347" t="n"/>
      <c r="D144" s="285" t="n"/>
    </row>
    <row r="145" ht="13.5" customFormat="1" customHeight="1" s="286">
      <c r="B145" s="346" t="n"/>
      <c r="C145" s="347" t="n"/>
      <c r="D145" s="285" t="n"/>
    </row>
    <row r="146" ht="13.5" customFormat="1" customHeight="1" s="286">
      <c r="B146" s="346" t="n"/>
      <c r="C146" s="347" t="n"/>
      <c r="D146" s="285" t="n"/>
    </row>
    <row r="147" ht="13.5" customFormat="1" customHeight="1" s="286">
      <c r="B147" s="346" t="n"/>
      <c r="C147" s="347" t="n"/>
      <c r="D147" s="285" t="n"/>
    </row>
    <row r="148" ht="13.5" customFormat="1" customHeight="1" s="286">
      <c r="B148" s="346" t="n"/>
      <c r="C148" s="347" t="n"/>
      <c r="D148" s="285" t="n"/>
    </row>
    <row r="149" ht="13.5" customFormat="1" customHeight="1" s="286">
      <c r="B149" s="346" t="n"/>
      <c r="C149" s="347" t="n"/>
      <c r="D149" s="285" t="n"/>
    </row>
    <row r="150" ht="13.5" customFormat="1" customHeight="1" s="286">
      <c r="B150" s="346" t="n"/>
      <c r="C150" s="347" t="n"/>
      <c r="D150" s="285" t="n"/>
    </row>
    <row r="151" ht="13.5" customFormat="1" customHeight="1" s="286">
      <c r="B151" s="346" t="n"/>
      <c r="C151" s="347" t="n"/>
      <c r="D151" s="285" t="n"/>
    </row>
    <row r="152" ht="13.5" customFormat="1" customHeight="1" s="286">
      <c r="B152" s="346" t="n"/>
      <c r="C152" s="347" t="n"/>
      <c r="D152" s="285" t="n"/>
    </row>
    <row r="153" ht="13.5" customFormat="1" customHeight="1" s="286">
      <c r="B153" s="346" t="n"/>
      <c r="C153" s="347" t="n"/>
      <c r="D153" s="285" t="n"/>
    </row>
    <row r="154" ht="13.5" customFormat="1" customHeight="1" s="286">
      <c r="B154" s="346" t="n"/>
      <c r="C154" s="347" t="n"/>
      <c r="D154" s="285" t="n"/>
    </row>
    <row r="155" ht="13.5" customFormat="1" customHeight="1" s="286">
      <c r="B155" s="346" t="n"/>
      <c r="C155" s="347" t="n"/>
      <c r="D155" s="285" t="n"/>
    </row>
    <row r="156" ht="13.5" customFormat="1" customHeight="1" s="286">
      <c r="B156" s="346" t="n"/>
      <c r="C156" s="347" t="n"/>
      <c r="D156" s="285" t="n"/>
    </row>
    <row r="157" ht="13.5" customFormat="1" customHeight="1" s="286">
      <c r="B157" s="346" t="n"/>
      <c r="C157" s="347" t="n"/>
      <c r="D157" s="285" t="n"/>
    </row>
    <row r="158" ht="13.5" customFormat="1" customHeight="1" s="286">
      <c r="B158" s="346" t="n"/>
      <c r="C158" s="347" t="n"/>
      <c r="D158" s="285" t="n"/>
    </row>
    <row r="159" ht="13.5" customFormat="1" customHeight="1" s="286">
      <c r="B159" s="346" t="n"/>
      <c r="C159" s="347" t="n"/>
      <c r="D159" s="285" t="n"/>
    </row>
    <row r="160" ht="13.5" customFormat="1" customHeight="1" s="286">
      <c r="B160" s="346" t="n"/>
      <c r="C160" s="347" t="n"/>
      <c r="D160" s="285" t="n"/>
    </row>
    <row r="161" ht="13.5" customFormat="1" customHeight="1" s="286">
      <c r="B161" s="346" t="n"/>
      <c r="C161" s="347" t="n"/>
      <c r="D161" s="285" t="n"/>
    </row>
    <row r="162" ht="13.5" customFormat="1" customHeight="1" s="286">
      <c r="B162" s="346" t="n"/>
      <c r="C162" s="347" t="n"/>
      <c r="D162" s="285" t="n"/>
    </row>
    <row r="163" ht="13.5" customFormat="1" customHeight="1" s="286">
      <c r="B163" s="346" t="n"/>
      <c r="C163" s="347" t="n"/>
      <c r="D163" s="285" t="n"/>
    </row>
    <row r="164" ht="13.5" customFormat="1" customHeight="1" s="286">
      <c r="B164" s="346" t="n"/>
      <c r="C164" s="347" t="n"/>
      <c r="D164" s="285" t="n"/>
    </row>
    <row r="165" ht="13.5" customFormat="1" customHeight="1" s="286">
      <c r="B165" s="346" t="n"/>
      <c r="C165" s="347" t="n"/>
      <c r="D165" s="285" t="n"/>
    </row>
    <row r="166" ht="13.5" customFormat="1" customHeight="1" s="286">
      <c r="B166" s="346" t="n"/>
      <c r="C166" s="347" t="n"/>
      <c r="D166" s="285" t="n"/>
    </row>
  </sheetData>
  <mergeCells count="70">
    <mergeCell ref="C2:C6"/>
    <mergeCell ref="D62:D66"/>
    <mergeCell ref="D31:D34"/>
    <mergeCell ref="B12:B13"/>
    <mergeCell ref="B31:B36"/>
    <mergeCell ref="C51:C53"/>
    <mergeCell ref="D72:D76"/>
    <mergeCell ref="C29:C30"/>
    <mergeCell ref="B99:B110"/>
    <mergeCell ref="D68:D70"/>
    <mergeCell ref="C45:C46"/>
    <mergeCell ref="D90:D93"/>
    <mergeCell ref="D86:D89"/>
    <mergeCell ref="A54:A70"/>
    <mergeCell ref="C72:C76"/>
    <mergeCell ref="B58:B59"/>
    <mergeCell ref="D95:D98"/>
    <mergeCell ref="B14:B15"/>
    <mergeCell ref="D45:D46"/>
    <mergeCell ref="B54:B56"/>
    <mergeCell ref="C35:C36"/>
    <mergeCell ref="B71:B76"/>
    <mergeCell ref="D54:D56"/>
    <mergeCell ref="B67:B70"/>
    <mergeCell ref="B51:B53"/>
    <mergeCell ref="B61:B66"/>
    <mergeCell ref="C25:C28"/>
    <mergeCell ref="C47:C50"/>
    <mergeCell ref="D51:D53"/>
    <mergeCell ref="C16:C19"/>
    <mergeCell ref="D7:D8"/>
    <mergeCell ref="B86:B93"/>
    <mergeCell ref="D16:D19"/>
    <mergeCell ref="D20:D24"/>
    <mergeCell ref="C68:C70"/>
    <mergeCell ref="B94:B98"/>
    <mergeCell ref="C31:C34"/>
    <mergeCell ref="A71:A85"/>
    <mergeCell ref="C77:C81"/>
    <mergeCell ref="A16:A36"/>
    <mergeCell ref="A37:A53"/>
    <mergeCell ref="C62:C66"/>
    <mergeCell ref="C54:C56"/>
    <mergeCell ref="D106:D109"/>
    <mergeCell ref="C90:C93"/>
    <mergeCell ref="D47:D50"/>
    <mergeCell ref="D83:D84"/>
    <mergeCell ref="C106:C109"/>
    <mergeCell ref="B2:B11"/>
    <mergeCell ref="D25:D28"/>
    <mergeCell ref="C7:C8"/>
    <mergeCell ref="B20:B30"/>
    <mergeCell ref="D99:D103"/>
    <mergeCell ref="D77:D81"/>
    <mergeCell ref="D29:D30"/>
    <mergeCell ref="B37:B44"/>
    <mergeCell ref="C95:C98"/>
    <mergeCell ref="D2:D6"/>
    <mergeCell ref="B45:B50"/>
    <mergeCell ref="C20:C24"/>
    <mergeCell ref="C83:C84"/>
    <mergeCell ref="A86:A110"/>
    <mergeCell ref="C38:C43"/>
    <mergeCell ref="C86:C89"/>
    <mergeCell ref="B77:B85"/>
    <mergeCell ref="D38:D43"/>
    <mergeCell ref="C99:C103"/>
    <mergeCell ref="A2:A15"/>
    <mergeCell ref="D35:D36"/>
    <mergeCell ref="B16:B1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U305"/>
  <sheetViews>
    <sheetView showFormulas="0" showGridLines="1" showRowColHeaders="1" showZeros="1" rightToLeft="0" tabSelected="0"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E107" activeCellId="0" sqref="E107"/>
    </sheetView>
  </sheetViews>
  <sheetFormatPr baseColWidth="8" defaultColWidth="34.00390625" defaultRowHeight="15" zeroHeight="0" outlineLevelRow="0"/>
  <cols>
    <col width="8.67" customWidth="1" style="218" min="1" max="1"/>
    <col width="21.67" customWidth="1" style="218" min="2" max="2"/>
    <col width="67.52" customWidth="1" style="218" min="3" max="3"/>
    <col width="10.33" customWidth="1" style="218" min="4" max="4"/>
    <col width="16.33" customWidth="1" style="218" min="5" max="5"/>
    <col width="36.5" customWidth="1" style="218" min="6" max="6"/>
    <col width="15.16" customWidth="1" style="218" min="7" max="7"/>
    <col width="47.5" customWidth="1" style="218" min="8" max="8"/>
    <col width="7" customWidth="1" style="218" min="9" max="9"/>
    <col width="8.83" customWidth="1" style="218" min="10" max="10"/>
    <col width="13.83" customWidth="1" style="218" min="11" max="11"/>
    <col width="14.83" customWidth="1" style="218" min="12" max="12"/>
    <col width="16.33" customWidth="1" style="218" min="13" max="13"/>
    <col width="17.5" customWidth="1" style="218" min="14" max="14"/>
    <col width="12.16" customWidth="1" style="218" min="15" max="15"/>
    <col width="16" customWidth="1" style="218" min="16" max="16"/>
    <col width="21.67" customWidth="1" style="218" min="17" max="17"/>
    <col width="31.83" customWidth="1" style="218" min="18" max="18"/>
    <col width="77.33" customWidth="1" style="218" min="19" max="19"/>
    <col width="8.16" customWidth="1" style="218" min="20" max="20"/>
    <col width="34" customWidth="1" style="218" min="21" max="16384"/>
  </cols>
  <sheetData>
    <row r="1" ht="15" customHeight="1" s="210">
      <c r="A1" s="348" t="inlineStr">
        <is>
          <t>Dept</t>
        </is>
      </c>
      <c r="B1" s="348" t="inlineStr">
        <is>
          <t>KPI ID</t>
        </is>
      </c>
      <c r="C1" s="348" t="inlineStr">
        <is>
          <t>KPI Name</t>
        </is>
      </c>
      <c r="D1" s="348" t="inlineStr">
        <is>
          <t>Level</t>
        </is>
      </c>
      <c r="E1" s="348" t="inlineStr">
        <is>
          <t>Dashboard Item ID</t>
        </is>
      </c>
      <c r="F1" s="348" t="inlineStr">
        <is>
          <t>Item Name (auto)</t>
        </is>
      </c>
      <c r="G1" s="348" t="inlineStr">
        <is>
          <t>Also Show Under</t>
        </is>
      </c>
      <c r="H1" s="348" t="inlineStr">
        <is>
          <t>Also Under (auto)</t>
        </is>
      </c>
      <c r="I1" s="348" t="inlineStr">
        <is>
          <t>Unit</t>
        </is>
      </c>
      <c r="J1" s="348" t="inlineStr">
        <is>
          <t>Decimals</t>
        </is>
      </c>
      <c r="K1" s="348" t="inlineStr">
        <is>
          <t>Higher Is Better</t>
        </is>
      </c>
      <c r="L1" s="348" t="inlineStr">
        <is>
          <t>Status Based On</t>
        </is>
      </c>
      <c r="M1" s="348" t="inlineStr">
        <is>
          <t>On Track Within %</t>
        </is>
      </c>
      <c r="N1" s="348" t="inlineStr">
        <is>
          <t>Off Track Beyond %</t>
        </is>
      </c>
      <c r="O1" s="348" t="inlineStr">
        <is>
          <t>Drives Status</t>
        </is>
      </c>
      <c r="P1" s="348" t="inlineStr">
        <is>
          <t>Update Frequency</t>
        </is>
      </c>
      <c r="Q1" s="348" t="inlineStr">
        <is>
          <t>Owner</t>
        </is>
      </c>
      <c r="R1" s="348" t="inlineStr">
        <is>
          <t>Source</t>
        </is>
      </c>
      <c r="S1" s="348" t="inlineStr">
        <is>
          <t>Description</t>
        </is>
      </c>
      <c r="T1" s="348" t="inlineStr">
        <is>
          <t>Footnote</t>
        </is>
      </c>
      <c r="U1" s="349" t="inlineStr">
        <is>
          <t>Gauge Role (auto)</t>
        </is>
      </c>
    </row>
    <row r="2" ht="16.5" customFormat="1" customHeight="1" s="350">
      <c r="A2" s="350">
        <f>LEFT(B2, FIND("-", B2) - 1)</f>
        <v/>
      </c>
      <c r="B2" s="351" t="inlineStr">
        <is>
          <t>911-COMPLAINTRES</t>
        </is>
      </c>
      <c r="C2" s="352" t="inlineStr">
        <is>
          <t>Complaint Resolution</t>
        </is>
      </c>
      <c r="D2" s="351" t="inlineStr">
        <is>
          <t>Program</t>
        </is>
      </c>
      <c r="E2" s="351" t="inlineStr">
        <is>
          <t>p101</t>
        </is>
      </c>
      <c r="F2" s="353">
        <f>IF(E2="","",IFERROR(IF(INDEX('Dashboard Items'!$B$2:$B$495,MATCH(E2,'Dashboard Items'!$A$2:$A$495,0))="Objective","Objectives go in the next column",IF(OR(D2="",INDEX('Dashboard Items'!$B$2:$B$495,MATCH(E2,'Dashboard Items'!$A$2:$A$495,0))=D2),INDEX('Dashboard Items'!$C$2:$C$495,MATCH(E2,'Dashboard Items'!$A$2:$A$495,0)),"Level does not match ID")),"ID not found"))</f>
        <v/>
      </c>
      <c r="G2" s="354" t="n"/>
      <c r="H2" s="353">
        <f>IF(G2="","",IF(ISNUMBER(SEARCH(",",G2)),"Several items (the script lists them)",IFERROR(INDEX('Dashboard Items'!$B$2:$B$495,MATCH(G2,'Dashboard Items'!$A$2:$A$495,0))&amp;": "&amp;INDEX('Dashboard Items'!$C$2:$C$495,MATCH(G2,'Dashboard Items'!$A$2:$A$495,0)),"ID not found")))</f>
        <v/>
      </c>
      <c r="I2" s="351" t="inlineStr">
        <is>
          <t>number</t>
        </is>
      </c>
      <c r="J2" s="351" t="n">
        <v>2</v>
      </c>
      <c r="K2" s="351" t="inlineStr">
        <is>
          <t>Yes</t>
        </is>
      </c>
      <c r="L2" s="351" t="inlineStr">
        <is>
          <t>Target</t>
        </is>
      </c>
      <c r="M2" s="351" t="n">
        <v>0</v>
      </c>
      <c r="N2" s="351" t="n">
        <v>0</v>
      </c>
      <c r="O2" s="351" t="inlineStr">
        <is>
          <t>Yes</t>
        </is>
      </c>
      <c r="P2" s="351" t="inlineStr">
        <is>
          <t>Every year</t>
        </is>
      </c>
      <c r="Q2" s="351" t="inlineStr">
        <is>
          <t>Chief of Police</t>
        </is>
      </c>
      <c r="R2" s="351" t="n"/>
      <c r="S2" s="351" t="n"/>
      <c r="T2" s="351" t="n"/>
      <c r="U2" s="355">
        <f>IF(B2="","",IF(IF(D2&lt;&gt;"",D2,IFERROR(INDEX('Dashboard Items'!$B$2:$B$495,MATCH(E2,'Dashboard Items'!$A$2:$A$495,0)),""))="Key Service",IF(O2="No","Key Service: shown, not counted","Counts in Key Service gauge"),IF(IF(D2&lt;&gt;"",D2,IFERROR(INDEX('Dashboard Items'!$B$2:$B$495,MATCH(E2,'Dashboard Items'!$A$2:$A$495,0)),""))="Program",IF(ISNUMBER(SEARCH("ks",G2)),IF(O2="No","Program, also at Key Service: not counted","Counts in Key Service gauge + sets Program chip"),IF(O2="No","Program: shown, no status chip","Sets Program status chip")),IF(IF(D2&lt;&gt;"",D2,IFERROR(INDEX('Dashboard Items'!$B$2:$B$495,MATCH(E2,'Dashboard Items'!$A$2:$A$495,0)),""))="Work System","Work System: shown, not counted","Check Level"))))</f>
        <v/>
      </c>
    </row>
    <row r="3" ht="15.75" customFormat="1" customHeight="1" s="350">
      <c r="A3" s="350">
        <f>LEFT(B3, FIND("-", B3) - 1)</f>
        <v/>
      </c>
      <c r="B3" s="351" t="inlineStr">
        <is>
          <t>911-COMSATISFACTION</t>
        </is>
      </c>
      <c r="C3" s="356" t="inlineStr">
        <is>
          <t>Community Satisfaction</t>
        </is>
      </c>
      <c r="D3" s="351" t="inlineStr">
        <is>
          <t>Program</t>
        </is>
      </c>
      <c r="E3" s="351" t="inlineStr">
        <is>
          <t>p102</t>
        </is>
      </c>
      <c r="F3" s="353">
        <f>IF(E3="","",IFERROR(IF(INDEX('Dashboard Items'!$B$2:$B$495,MATCH(E3,'Dashboard Items'!$A$2:$A$495,0))="Objective","Objectives go in the next column",IF(OR(D3="",INDEX('Dashboard Items'!$B$2:$B$495,MATCH(E3,'Dashboard Items'!$A$2:$A$495,0))=D3),INDEX('Dashboard Items'!$C$2:$C$495,MATCH(E3,'Dashboard Items'!$A$2:$A$495,0)),"Level does not match ID")),"ID not found"))</f>
        <v/>
      </c>
      <c r="G3" s="354" t="inlineStr">
        <is>
          <t>p102</t>
        </is>
      </c>
      <c r="H3" s="353">
        <f>IF(G3="","",IF(ISNUMBER(SEARCH(",",G3)),"Several items (the script lists them)",IFERROR(INDEX('Dashboard Items'!$B$2:$B$495,MATCH(G3,'Dashboard Items'!$A$2:$A$495,0))&amp;": "&amp;INDEX('Dashboard Items'!$C$2:$C$495,MATCH(G3,'Dashboard Items'!$A$2:$A$495,0)),"ID not found")))</f>
        <v/>
      </c>
      <c r="I3" s="351" t="inlineStr">
        <is>
          <t>number</t>
        </is>
      </c>
      <c r="J3" s="351" t="n">
        <v>2</v>
      </c>
      <c r="K3" s="351" t="inlineStr">
        <is>
          <t>Yes</t>
        </is>
      </c>
      <c r="L3" s="351" t="inlineStr">
        <is>
          <t>Target</t>
        </is>
      </c>
      <c r="M3" s="351" t="n">
        <v>0</v>
      </c>
      <c r="N3" s="351" t="n">
        <v>0</v>
      </c>
      <c r="O3" s="351" t="inlineStr">
        <is>
          <t>Yes</t>
        </is>
      </c>
      <c r="P3" s="351" t="inlineStr">
        <is>
          <t>Every year</t>
        </is>
      </c>
      <c r="Q3" s="351" t="inlineStr">
        <is>
          <t>Chief of Police</t>
        </is>
      </c>
      <c r="R3" s="351" t="n"/>
      <c r="S3" s="351" t="n"/>
      <c r="T3" s="351" t="n"/>
      <c r="U3" s="355">
        <f>IF(B3="","",IF(IF(D3&lt;&gt;"",D3,IFERROR(INDEX('Dashboard Items'!$B$2:$B$495,MATCH(E3,'Dashboard Items'!$A$2:$A$495,0)),""))="Key Service",IF(O3="No","Key Service: shown, not counted","Counts in Key Service gauge"),IF(IF(D3&lt;&gt;"",D3,IFERROR(INDEX('Dashboard Items'!$B$2:$B$495,MATCH(E3,'Dashboard Items'!$A$2:$A$495,0)),""))="Program",IF(ISNUMBER(SEARCH("ks",G3)),IF(O3="No","Program, also at Key Service: not counted","Counts in Key Service gauge + sets Program chip"),IF(O3="No","Program: shown, no status chip","Sets Program status chip")),IF(IF(D3&lt;&gt;"",D3,IFERROR(INDEX('Dashboard Items'!$B$2:$B$495,MATCH(E3,'Dashboard Items'!$A$2:$A$495,0)),""))="Work System","Work System: shown, not counted","Check Level"))))</f>
        <v/>
      </c>
    </row>
    <row r="4" ht="15.75" customFormat="1" customHeight="1" s="350">
      <c r="A4" s="350">
        <f>LEFT(B4, FIND("-", B4) - 1)</f>
        <v/>
      </c>
      <c r="B4" s="351" t="inlineStr">
        <is>
          <t>911-DISPATCHTIME</t>
        </is>
      </c>
      <c r="C4" s="352" t="inlineStr">
        <is>
          <t>911 Answer Times</t>
        </is>
      </c>
      <c r="D4" s="351" t="inlineStr">
        <is>
          <t>Key Service</t>
        </is>
      </c>
      <c r="E4" s="351" t="inlineStr">
        <is>
          <t>ks11</t>
        </is>
      </c>
      <c r="F4" s="353">
        <f>IF(E4="","",IFERROR(IF(INDEX('Dashboard Items'!$B$2:$B$495,MATCH(E4,'Dashboard Items'!$A$2:$A$495,0))="Objective","Objectives go in the next column",IF(OR(D4="",INDEX('Dashboard Items'!$B$2:$B$495,MATCH(E4,'Dashboard Items'!$A$2:$A$495,0))=D4),INDEX('Dashboard Items'!$C$2:$C$495,MATCH(E4,'Dashboard Items'!$A$2:$A$495,0)),"Level does not match ID")),"ID not found"))</f>
        <v/>
      </c>
      <c r="G4" s="354" t="inlineStr">
        <is>
          <t>p101</t>
        </is>
      </c>
      <c r="H4" s="353">
        <f>IF(G4="","",IF(ISNUMBER(SEARCH(",",G4)),"Several items (the script lists them)",IFERROR(INDEX('Dashboard Items'!$B$2:$B$495,MATCH(G4,'Dashboard Items'!$A$2:$A$495,0))&amp;": "&amp;INDEX('Dashboard Items'!$C$2:$C$495,MATCH(G4,'Dashboard Items'!$A$2:$A$495,0)),"ID not found")))</f>
        <v/>
      </c>
      <c r="I4" s="351" t="inlineStr">
        <is>
          <t>percent</t>
        </is>
      </c>
      <c r="J4" s="351" t="n">
        <v>0</v>
      </c>
      <c r="K4" s="351" t="inlineStr">
        <is>
          <t>Yes</t>
        </is>
      </c>
      <c r="L4" s="351" t="inlineStr">
        <is>
          <t>Target</t>
        </is>
      </c>
      <c r="M4" s="351" t="n">
        <v>0</v>
      </c>
      <c r="N4" s="351" t="n">
        <v>0</v>
      </c>
      <c r="O4" s="351" t="inlineStr">
        <is>
          <t>Yes</t>
        </is>
      </c>
      <c r="P4" s="351" t="inlineStr">
        <is>
          <t>Every Quarter</t>
        </is>
      </c>
      <c r="Q4" s="351" t="inlineStr">
        <is>
          <t>911 Director</t>
        </is>
      </c>
      <c r="R4" s="351" t="inlineStr">
        <is>
          <t>Intrado 911 call data, via the Powermetrics reporting module (automated)</t>
        </is>
      </c>
      <c r="S4" s="351" t="inlineStr">
        <is>
          <t>Share of 911 calls answered within 15 seconds and within 20 seconds each fiscal year, each compared with its national standard.</t>
        </is>
      </c>
      <c r="T4" s="351" t="inlineStr">
        <is>
          <t>Target and benchmark (NENA standard, as set by the 911 center): 95% of calls answered within 15 seconds and 90% within 20 seconds. The center has been at critical staffing since Q2 2021, which has lengthened answer times; results remain above the standard.</t>
        </is>
      </c>
      <c r="U4" s="355">
        <f>IF(B4="","",IF(IF(D4&lt;&gt;"",D4,IFERROR(INDEX('Dashboard Items'!$B$2:$B$495,MATCH(E4,'Dashboard Items'!$A$2:$A$495,0)),""))="Key Service",IF(O4="No","Key Service: shown, not counted","Counts in Key Service gauge"),IF(IF(D4&lt;&gt;"",D4,IFERROR(INDEX('Dashboard Items'!$B$2:$B$495,MATCH(E4,'Dashboard Items'!$A$2:$A$495,0)),""))="Program",IF(ISNUMBER(SEARCH("ks",G4)),IF(O4="No","Program, also at Key Service: not counted","Counts in Key Service gauge + sets Program chip"),IF(O4="No","Program: shown, no status chip","Sets Program status chip")),IF(IF(D4&lt;&gt;"",D4,IFERROR(INDEX('Dashboard Items'!$B$2:$B$495,MATCH(E4,'Dashboard Items'!$A$2:$A$495,0)),""))="Work System","Work System: shown, not counted","Check Level"))))</f>
        <v/>
      </c>
    </row>
    <row r="5" ht="15.75" customFormat="1" customHeight="1" s="350">
      <c r="A5" s="350">
        <f>LEFT(B5, FIND("-", B5) - 1)</f>
        <v/>
      </c>
      <c r="B5" s="351" t="inlineStr">
        <is>
          <t>911-NFPADROPTIME</t>
        </is>
      </c>
      <c r="C5" s="352" t="inlineStr">
        <is>
          <t xml:space="preserve">NFPA Drop Times; </t>
        </is>
      </c>
      <c r="D5" s="351" t="inlineStr">
        <is>
          <t>Program</t>
        </is>
      </c>
      <c r="E5" s="351" t="inlineStr">
        <is>
          <t>p101</t>
        </is>
      </c>
      <c r="F5" s="353">
        <f>IF(E5="","",IFERROR(IF(INDEX('Dashboard Items'!$B$2:$B$495,MATCH(E5,'Dashboard Items'!$A$2:$A$495,0))="Objective","Objectives go in the next column",IF(OR(D5="",INDEX('Dashboard Items'!$B$2:$B$495,MATCH(E5,'Dashboard Items'!$A$2:$A$495,0))=D5),INDEX('Dashboard Items'!$C$2:$C$495,MATCH(E5,'Dashboard Items'!$A$2:$A$495,0)),"Level does not match ID")),"ID not found"))</f>
        <v/>
      </c>
      <c r="G5" s="354" t="n"/>
      <c r="H5" s="353">
        <f>IF(G5="","",IF(ISNUMBER(SEARCH(",",G5)),"Several items (the script lists them)",IFERROR(INDEX('Dashboard Items'!$B$2:$B$495,MATCH(G5,'Dashboard Items'!$A$2:$A$495,0))&amp;": "&amp;INDEX('Dashboard Items'!$C$2:$C$495,MATCH(G5,'Dashboard Items'!$A$2:$A$495,0)),"ID not found")))</f>
        <v/>
      </c>
      <c r="I5" s="351" t="inlineStr">
        <is>
          <t>number</t>
        </is>
      </c>
      <c r="J5" s="351" t="n">
        <v>2</v>
      </c>
      <c r="K5" s="351" t="inlineStr">
        <is>
          <t>Yes</t>
        </is>
      </c>
      <c r="L5" s="351" t="inlineStr">
        <is>
          <t>Target</t>
        </is>
      </c>
      <c r="M5" s="351" t="n">
        <v>0</v>
      </c>
      <c r="N5" s="351" t="n">
        <v>0</v>
      </c>
      <c r="O5" s="351" t="inlineStr">
        <is>
          <t>Yes</t>
        </is>
      </c>
      <c r="P5" s="351" t="inlineStr">
        <is>
          <t>Every year</t>
        </is>
      </c>
      <c r="Q5" s="351" t="inlineStr">
        <is>
          <t>Chief of Police</t>
        </is>
      </c>
      <c r="R5" s="351" t="n"/>
      <c r="S5" s="351" t="n"/>
      <c r="T5" s="351" t="n"/>
      <c r="U5" s="355">
        <f>IF(B5="","",IF(IF(D5&lt;&gt;"",D5,IFERROR(INDEX('Dashboard Items'!$B$2:$B$495,MATCH(E5,'Dashboard Items'!$A$2:$A$495,0)),""))="Key Service",IF(O5="No","Key Service: shown, not counted","Counts in Key Service gauge"),IF(IF(D5&lt;&gt;"",D5,IFERROR(INDEX('Dashboard Items'!$B$2:$B$495,MATCH(E5,'Dashboard Items'!$A$2:$A$495,0)),""))="Program",IF(ISNUMBER(SEARCH("ks",G5)),IF(O5="No","Program, also at Key Service: not counted","Counts in Key Service gauge + sets Program chip"),IF(O5="No","Program: shown, no status chip","Sets Program status chip")),IF(IF(D5&lt;&gt;"",D5,IFERROR(INDEX('Dashboard Items'!$B$2:$B$495,MATCH(E5,'Dashboard Items'!$A$2:$A$495,0)),""))="Work System","Work System: shown, not counted","Check Level"))))</f>
        <v/>
      </c>
    </row>
    <row r="6" ht="15.75" customFormat="1" customHeight="1" s="350">
      <c r="A6" s="350">
        <f>LEFT(B6, FIND("-", B6) - 1)</f>
        <v/>
      </c>
      <c r="B6" s="351" t="inlineStr">
        <is>
          <t>911-QAQC</t>
        </is>
      </c>
      <c r="C6" s="352" t="inlineStr">
        <is>
          <t xml:space="preserve">Quality Assurance; </t>
        </is>
      </c>
      <c r="D6" s="351" t="inlineStr">
        <is>
          <t>Program</t>
        </is>
      </c>
      <c r="E6" s="351" t="inlineStr">
        <is>
          <t>p101</t>
        </is>
      </c>
      <c r="F6" s="353">
        <f>IF(E6="","",IFERROR(IF(INDEX('Dashboard Items'!$B$2:$B$495,MATCH(E6,'Dashboard Items'!$A$2:$A$495,0))="Objective","Objectives go in the next column",IF(OR(D6="",INDEX('Dashboard Items'!$B$2:$B$495,MATCH(E6,'Dashboard Items'!$A$2:$A$495,0))=D6),INDEX('Dashboard Items'!$C$2:$C$495,MATCH(E6,'Dashboard Items'!$A$2:$A$495,0)),"Level does not match ID")),"ID not found"))</f>
        <v/>
      </c>
      <c r="G6" s="354" t="inlineStr">
        <is>
          <t>p102</t>
        </is>
      </c>
      <c r="H6" s="353">
        <f>IF(G6="","",IF(ISNUMBER(SEARCH(",",G6)),"Several items (the script lists them)",IFERROR(INDEX('Dashboard Items'!$B$2:$B$495,MATCH(G6,'Dashboard Items'!$A$2:$A$495,0))&amp;": "&amp;INDEX('Dashboard Items'!$C$2:$C$495,MATCH(G6,'Dashboard Items'!$A$2:$A$495,0)),"ID not found")))</f>
        <v/>
      </c>
      <c r="I6" s="351" t="inlineStr">
        <is>
          <t>number</t>
        </is>
      </c>
      <c r="J6" s="351" t="n">
        <v>2</v>
      </c>
      <c r="K6" s="351" t="inlineStr">
        <is>
          <t>Yes</t>
        </is>
      </c>
      <c r="L6" s="351" t="inlineStr">
        <is>
          <t>Target</t>
        </is>
      </c>
      <c r="M6" s="351" t="n">
        <v>0</v>
      </c>
      <c r="N6" s="351" t="n">
        <v>0</v>
      </c>
      <c r="O6" s="351" t="inlineStr">
        <is>
          <t>Yes</t>
        </is>
      </c>
      <c r="P6" s="351" t="inlineStr">
        <is>
          <t>Every year</t>
        </is>
      </c>
      <c r="Q6" s="351" t="inlineStr">
        <is>
          <t>Chief of Police</t>
        </is>
      </c>
      <c r="R6" s="351" t="n"/>
      <c r="S6" s="351" t="n"/>
      <c r="T6" s="351" t="n"/>
      <c r="U6" s="355">
        <f>IF(B6="","",IF(IF(D6&lt;&gt;"",D6,IFERROR(INDEX('Dashboard Items'!$B$2:$B$495,MATCH(E6,'Dashboard Items'!$A$2:$A$495,0)),""))="Key Service",IF(O6="No","Key Service: shown, not counted","Counts in Key Service gauge"),IF(IF(D6&lt;&gt;"",D6,IFERROR(INDEX('Dashboard Items'!$B$2:$B$495,MATCH(E6,'Dashboard Items'!$A$2:$A$495,0)),""))="Program",IF(ISNUMBER(SEARCH("ks",G6)),IF(O6="No","Program, also at Key Service: not counted","Counts in Key Service gauge + sets Program chip"),IF(O6="No","Program: shown, no status chip","Sets Program status chip")),IF(IF(D6&lt;&gt;"",D6,IFERROR(INDEX('Dashboard Items'!$B$2:$B$495,MATCH(E6,'Dashboard Items'!$A$2:$A$495,0)),""))="Work System","Work System: shown, not counted","Check Level"))))</f>
        <v/>
      </c>
    </row>
    <row r="7" ht="15.75" customFormat="1" customHeight="1" s="350">
      <c r="A7" s="350">
        <f>LEFT(B7, FIND("-", B7) - 1)</f>
        <v/>
      </c>
      <c r="B7" s="351" t="inlineStr">
        <is>
          <t>911-SERVICEUPTIME</t>
        </is>
      </c>
      <c r="C7" s="356" t="inlineStr">
        <is>
          <t xml:space="preserve">911 Services uptime (could roll up to system wide uptime under IT services); </t>
        </is>
      </c>
      <c r="D7" s="351" t="inlineStr">
        <is>
          <t>Program</t>
        </is>
      </c>
      <c r="E7" s="351" t="inlineStr">
        <is>
          <t>p104</t>
        </is>
      </c>
      <c r="F7" s="353">
        <f>IF(E7="","",IFERROR(IF(INDEX('Dashboard Items'!$B$2:$B$495,MATCH(E7,'Dashboard Items'!$A$2:$A$495,0))="Objective","Objectives go in the next column",IF(OR(D7="",INDEX('Dashboard Items'!$B$2:$B$495,MATCH(E7,'Dashboard Items'!$A$2:$A$495,0))=D7),INDEX('Dashboard Items'!$C$2:$C$495,MATCH(E7,'Dashboard Items'!$A$2:$A$495,0)),"Level does not match ID")),"ID not found"))</f>
        <v/>
      </c>
      <c r="G7" s="354" t="n"/>
      <c r="H7" s="353">
        <f>IF(G7="","",IF(ISNUMBER(SEARCH(",",G7)),"Several items (the script lists them)",IFERROR(INDEX('Dashboard Items'!$B$2:$B$495,MATCH(G7,'Dashboard Items'!$A$2:$A$495,0))&amp;": "&amp;INDEX('Dashboard Items'!$C$2:$C$495,MATCH(G7,'Dashboard Items'!$A$2:$A$495,0)),"ID not found")))</f>
        <v/>
      </c>
      <c r="I7" s="351" t="inlineStr">
        <is>
          <t>number</t>
        </is>
      </c>
      <c r="J7" s="351" t="n">
        <v>2</v>
      </c>
      <c r="K7" s="351" t="inlineStr">
        <is>
          <t>Yes</t>
        </is>
      </c>
      <c r="L7" s="351" t="inlineStr">
        <is>
          <t>Target</t>
        </is>
      </c>
      <c r="M7" s="351" t="n">
        <v>0</v>
      </c>
      <c r="N7" s="351" t="n">
        <v>0</v>
      </c>
      <c r="O7" s="351" t="inlineStr">
        <is>
          <t>Yes</t>
        </is>
      </c>
      <c r="P7" s="351" t="inlineStr">
        <is>
          <t>Every year</t>
        </is>
      </c>
      <c r="Q7" s="351" t="inlineStr">
        <is>
          <t>Chief of Police</t>
        </is>
      </c>
      <c r="R7" s="351" t="n"/>
      <c r="S7" s="351" t="n"/>
      <c r="T7" s="351" t="n"/>
      <c r="U7" s="355">
        <f>IF(B7="","",IF(IF(D7&lt;&gt;"",D7,IFERROR(INDEX('Dashboard Items'!$B$2:$B$495,MATCH(E7,'Dashboard Items'!$A$2:$A$495,0)),""))="Key Service",IF(O7="No","Key Service: shown, not counted","Counts in Key Service gauge"),IF(IF(D7&lt;&gt;"",D7,IFERROR(INDEX('Dashboard Items'!$B$2:$B$495,MATCH(E7,'Dashboard Items'!$A$2:$A$495,0)),""))="Program",IF(ISNUMBER(SEARCH("ks",G7)),IF(O7="No","Program, also at Key Service: not counted","Counts in Key Service gauge + sets Program chip"),IF(O7="No","Program: shown, no status chip","Sets Program status chip")),IF(IF(D7&lt;&gt;"",D7,IFERROR(INDEX('Dashboard Items'!$B$2:$B$495,MATCH(E7,'Dashboard Items'!$A$2:$A$495,0)),""))="Work System","Work System: shown, not counted","Check Level"))))</f>
        <v/>
      </c>
    </row>
    <row r="8" ht="15.75" customFormat="1" customHeight="1" s="350">
      <c r="A8" s="350">
        <f>LEFT(B8, FIND("-", B8) - 1)</f>
        <v/>
      </c>
      <c r="B8" s="351" t="inlineStr">
        <is>
          <t>911-STAFFING</t>
        </is>
      </c>
      <c r="C8" s="356" t="inlineStr">
        <is>
          <t>Staffing metrics: Vacancy, turnover, internal promotion?</t>
        </is>
      </c>
      <c r="D8" s="351" t="inlineStr">
        <is>
          <t>Key Service</t>
        </is>
      </c>
      <c r="E8" s="351" t="inlineStr">
        <is>
          <t>ks11</t>
        </is>
      </c>
      <c r="F8" s="353">
        <f>IF(E8="","",IFERROR(IF(INDEX('Dashboard Items'!$B$2:$B$495,MATCH(E8,'Dashboard Items'!$A$2:$A$495,0))="Objective","Objectives go in the next column",IF(OR(D8="",INDEX('Dashboard Items'!$B$2:$B$495,MATCH(E8,'Dashboard Items'!$A$2:$A$495,0))=D8),INDEX('Dashboard Items'!$C$2:$C$495,MATCH(E8,'Dashboard Items'!$A$2:$A$495,0)),"Level does not match ID")),"ID not found"))</f>
        <v/>
      </c>
      <c r="G8" s="354" t="n"/>
      <c r="H8" s="353">
        <f>IF(G8="","",IF(ISNUMBER(SEARCH(",",G8)),"Several items (the script lists them)",IFERROR(INDEX('Dashboard Items'!$B$2:$B$495,MATCH(G8,'Dashboard Items'!$A$2:$A$495,0))&amp;": "&amp;INDEX('Dashboard Items'!$C$2:$C$495,MATCH(G8,'Dashboard Items'!$A$2:$A$495,0)),"ID not found")))</f>
        <v/>
      </c>
      <c r="I8" s="351" t="inlineStr">
        <is>
          <t>number</t>
        </is>
      </c>
      <c r="J8" s="351" t="n">
        <v>2</v>
      </c>
      <c r="K8" s="351" t="inlineStr">
        <is>
          <t>Yes</t>
        </is>
      </c>
      <c r="L8" s="351" t="inlineStr">
        <is>
          <t>Target</t>
        </is>
      </c>
      <c r="M8" s="351" t="n">
        <v>0</v>
      </c>
      <c r="N8" s="351" t="n">
        <v>0</v>
      </c>
      <c r="O8" s="351" t="inlineStr">
        <is>
          <t>Yes</t>
        </is>
      </c>
      <c r="P8" s="351" t="inlineStr">
        <is>
          <t>Every year</t>
        </is>
      </c>
      <c r="Q8" s="351" t="inlineStr">
        <is>
          <t>Chief of Police</t>
        </is>
      </c>
      <c r="R8" s="351" t="n"/>
      <c r="S8" s="351" t="n"/>
      <c r="T8" s="351" t="n"/>
      <c r="U8" s="355">
        <f>IF(B8="","",IF(IF(D8&lt;&gt;"",D8,IFERROR(INDEX('Dashboard Items'!$B$2:$B$495,MATCH(E8,'Dashboard Items'!$A$2:$A$495,0)),""))="Key Service",IF(O8="No","Key Service: shown, not counted","Counts in Key Service gauge"),IF(IF(D8&lt;&gt;"",D8,IFERROR(INDEX('Dashboard Items'!$B$2:$B$495,MATCH(E8,'Dashboard Items'!$A$2:$A$495,0)),""))="Program",IF(ISNUMBER(SEARCH("ks",G8)),IF(O8="No","Program, also at Key Service: not counted","Counts in Key Service gauge + sets Program chip"),IF(O8="No","Program: shown, no status chip","Sets Program status chip")),IF(IF(D8&lt;&gt;"",D8,IFERROR(INDEX('Dashboard Items'!$B$2:$B$495,MATCH(E8,'Dashboard Items'!$A$2:$A$495,0)),""))="Work System","Work System: shown, not counted","Check Level"))))</f>
        <v/>
      </c>
    </row>
    <row r="9" ht="15.75" customFormat="1" customHeight="1" s="350">
      <c r="A9" s="357">
        <f>LEFT(B9, FIND("-", B9) - 1)</f>
        <v/>
      </c>
      <c r="B9" s="357" t="inlineStr">
        <is>
          <t>CLERK-AGENDAPOST</t>
        </is>
      </c>
      <c r="C9" s="358" t="inlineStr">
        <is>
          <t>Agenda posting time</t>
        </is>
      </c>
      <c r="D9" s="357" t="inlineStr">
        <is>
          <t>Program</t>
        </is>
      </c>
      <c r="E9" s="357" t="inlineStr">
        <is>
          <t>p6</t>
        </is>
      </c>
      <c r="F9" s="359">
        <f>IF(E9="","",IFERROR(IF(INDEX('Dashboard Items'!$B$2:$B$495,MATCH(E9,'Dashboard Items'!$A$2:$A$495,0))="Objective","Objectives go in the next column",IF(OR(D9="",INDEX('Dashboard Items'!$B$2:$B$495,MATCH(E9,'Dashboard Items'!$A$2:$A$495,0))=D9),INDEX('Dashboard Items'!$C$2:$C$495,MATCH(E9,'Dashboard Items'!$A$2:$A$495,0)),"Level does not match ID")),"ID not found"))</f>
        <v/>
      </c>
      <c r="G9" s="360" t="inlineStr">
        <is>
          <t>ks2</t>
        </is>
      </c>
      <c r="H9" s="359">
        <f>IF(G9="","",IF(ISNUMBER(SEARCH(",",G9)),"Several items (the script lists them)",IFERROR(INDEX('Dashboard Items'!$B$2:$B$495,MATCH(G9,'Dashboard Items'!$A$2:$A$495,0))&amp;": "&amp;INDEX('Dashboard Items'!$C$2:$C$495,MATCH(G9,'Dashboard Items'!$A$2:$A$495,0)),"ID not found")))</f>
        <v/>
      </c>
      <c r="I9" s="357" t="inlineStr">
        <is>
          <t>percent</t>
        </is>
      </c>
      <c r="J9" s="357" t="n">
        <v>0</v>
      </c>
      <c r="K9" s="357" t="inlineStr">
        <is>
          <t>Yes</t>
        </is>
      </c>
      <c r="L9" s="357" t="inlineStr">
        <is>
          <t>Target</t>
        </is>
      </c>
      <c r="M9" s="357" t="n"/>
      <c r="N9" s="357" t="n"/>
      <c r="O9" s="357" t="n"/>
      <c r="P9" s="357" t="inlineStr">
        <is>
          <t>Every Quarter</t>
        </is>
      </c>
      <c r="Q9" s="357" t="n"/>
      <c r="R9" s="357" t="n"/>
      <c r="S9" s="357" t="inlineStr">
        <is>
          <t>Share of regular City Council meeting agendas posted at least 48 hours before the meeting, each quarter.</t>
        </is>
      </c>
      <c r="T9" s="357" t="inlineStr">
        <is>
          <t>Target: more than 90% posted within 48 hours. Results swing from quarter to quarter because the number of meetings varies.</t>
        </is>
      </c>
      <c r="U9" s="355">
        <f>IF(B9="","",IF(IF(D9&lt;&gt;"",D9,IFERROR(INDEX('Dashboard Items'!$B$2:$B$495,MATCH(E9,'Dashboard Items'!$A$2:$A$495,0)),""))="Key Service",IF(O9="No","Key Service: shown, not counted","Counts in Key Service gauge"),IF(IF(D9&lt;&gt;"",D9,IFERROR(INDEX('Dashboard Items'!$B$2:$B$495,MATCH(E9,'Dashboard Items'!$A$2:$A$495,0)),""))="Program",IF(ISNUMBER(SEARCH("ks",G9)),IF(O9="No","Program, also at Key Service: not counted","Counts in Key Service gauge + sets Program chip"),IF(O9="No","Program: shown, no status chip","Sets Program status chip")),IF(IF(D9&lt;&gt;"",D9,IFERROR(INDEX('Dashboard Items'!$B$2:$B$495,MATCH(E9,'Dashboard Items'!$A$2:$A$495,0)),""))="Work System","Work System: shown, not counted","Check Level"))))</f>
        <v/>
      </c>
    </row>
    <row r="10" ht="15.75" customFormat="1" customHeight="1" s="350">
      <c r="A10" s="357">
        <f>LEFT(B10, FIND("-", B10) - 1)</f>
        <v/>
      </c>
      <c r="B10" s="357" t="inlineStr">
        <is>
          <t>CLERK-BIZLIC</t>
        </is>
      </c>
      <c r="C10" s="358" t="inlineStr">
        <is>
          <t>Business license turnaround time</t>
        </is>
      </c>
      <c r="D10" s="357" t="inlineStr">
        <is>
          <t>Program</t>
        </is>
      </c>
      <c r="E10" s="357" t="inlineStr">
        <is>
          <t>p29</t>
        </is>
      </c>
      <c r="F10" s="359">
        <f>IF(E10="","",IFERROR(IF(INDEX('Dashboard Items'!$B$2:$B$495,MATCH(E10,'Dashboard Items'!$A$2:$A$495,0))="Objective","Objectives go in the next column",IF(OR(D10="",INDEX('Dashboard Items'!$B$2:$B$495,MATCH(E10,'Dashboard Items'!$A$2:$A$495,0))=D10),INDEX('Dashboard Items'!$C$2:$C$495,MATCH(E10,'Dashboard Items'!$A$2:$A$495,0)),"Level does not match ID")),"ID not found"))</f>
        <v/>
      </c>
      <c r="G10" s="360" t="inlineStr">
        <is>
          <t>ks2</t>
        </is>
      </c>
      <c r="H10" s="359">
        <f>IF(G10="","",IF(ISNUMBER(SEARCH(",",G10)),"Several items (the script lists them)",IFERROR(INDEX('Dashboard Items'!$B$2:$B$495,MATCH(G10,'Dashboard Items'!$A$2:$A$495,0))&amp;": "&amp;INDEX('Dashboard Items'!$C$2:$C$495,MATCH(G10,'Dashboard Items'!$A$2:$A$495,0)),"ID not found")))</f>
        <v/>
      </c>
      <c r="I10" s="357" t="n"/>
      <c r="J10" s="357" t="n"/>
      <c r="K10" s="357" t="n"/>
      <c r="L10" s="357" t="n"/>
      <c r="M10" s="357" t="n"/>
      <c r="N10" s="357" t="n"/>
      <c r="O10" s="357" t="n"/>
      <c r="P10" s="357" t="n"/>
      <c r="Q10" s="357" t="n"/>
      <c r="R10" s="357" t="n"/>
      <c r="S10" s="357" t="n"/>
      <c r="T10" s="357" t="n"/>
      <c r="U10" s="355">
        <f>IF(B10="","",IF(IF(D10&lt;&gt;"",D10,IFERROR(INDEX('Dashboard Items'!$B$2:$B$495,MATCH(E10,'Dashboard Items'!$A$2:$A$495,0)),""))="Key Service",IF(O10="No","Key Service: shown, not counted","Counts in Key Service gauge"),IF(IF(D10&lt;&gt;"",D10,IFERROR(INDEX('Dashboard Items'!$B$2:$B$495,MATCH(E10,'Dashboard Items'!$A$2:$A$495,0)),""))="Program",IF(ISNUMBER(SEARCH("ks",G10)),IF(O10="No","Program, also at Key Service: not counted","Counts in Key Service gauge + sets Program chip"),IF(O10="No","Program: shown, no status chip","Sets Program status chip")),IF(IF(D10&lt;&gt;"",D10,IFERROR(INDEX('Dashboard Items'!$B$2:$B$495,MATCH(E10,'Dashboard Items'!$A$2:$A$495,0)),""))="Work System","Work System: shown, not counted","Check Level"))))</f>
        <v/>
      </c>
    </row>
    <row r="11" ht="15.75" customFormat="1" customHeight="1" s="350">
      <c r="A11" s="357">
        <f>LEFT(B11, FIND("-", B11) - 1)</f>
        <v/>
      </c>
      <c r="B11" s="357" t="inlineStr">
        <is>
          <t>CLERK-CLICKTHRURATE</t>
        </is>
      </c>
      <c r="C11" s="358" t="inlineStr">
        <is>
          <t>Click through rate on City's election landing page</t>
        </is>
      </c>
      <c r="D11" s="357" t="inlineStr">
        <is>
          <t>Program</t>
        </is>
      </c>
      <c r="E11" s="357" t="inlineStr">
        <is>
          <t>p8</t>
        </is>
      </c>
      <c r="F11" s="359">
        <f>IF(E11="","",IFERROR(IF(INDEX('Dashboard Items'!$B$2:$B$495,MATCH(E11,'Dashboard Items'!$A$2:$A$495,0))="Objective","Objectives go in the next column",IF(OR(D11="",INDEX('Dashboard Items'!$B$2:$B$495,MATCH(E11,'Dashboard Items'!$A$2:$A$495,0))=D11),INDEX('Dashboard Items'!$C$2:$C$495,MATCH(E11,'Dashboard Items'!$A$2:$A$495,0)),"Level does not match ID")),"ID not found"))</f>
        <v/>
      </c>
      <c r="G11" s="360" t="n"/>
      <c r="H11" s="359">
        <f>IF(G11="","",IF(ISNUMBER(SEARCH(",",G11)),"Several items (the script lists them)",IFERROR(INDEX('Dashboard Items'!$B$2:$B$495,MATCH(G11,'Dashboard Items'!$A$2:$A$495,0))&amp;": "&amp;INDEX('Dashboard Items'!$C$2:$C$495,MATCH(G11,'Dashboard Items'!$A$2:$A$495,0)),"ID not found")))</f>
        <v/>
      </c>
      <c r="I11" s="357" t="n"/>
      <c r="J11" s="357" t="n"/>
      <c r="K11" s="357" t="n"/>
      <c r="L11" s="357" t="n"/>
      <c r="M11" s="357" t="n"/>
      <c r="N11" s="357" t="n"/>
      <c r="O11" s="357" t="n"/>
      <c r="P11" s="357" t="n"/>
      <c r="Q11" s="357" t="n"/>
      <c r="R11" s="357" t="n"/>
      <c r="S11" s="357" t="n"/>
      <c r="T11" s="357" t="n"/>
      <c r="U11" s="355">
        <f>IF(B11="","",IF(IF(D11&lt;&gt;"",D11,IFERROR(INDEX('Dashboard Items'!$B$2:$B$495,MATCH(E11,'Dashboard Items'!$A$2:$A$495,0)),""))="Key Service",IF(O11="No","Key Service: shown, not counted","Counts in Key Service gauge"),IF(IF(D11&lt;&gt;"",D11,IFERROR(INDEX('Dashboard Items'!$B$2:$B$495,MATCH(E11,'Dashboard Items'!$A$2:$A$495,0)),""))="Program",IF(ISNUMBER(SEARCH("ks",G11)),IF(O11="No","Program, also at Key Service: not counted","Counts in Key Service gauge + sets Program chip"),IF(O11="No","Program: shown, no status chip","Sets Program status chip")),IF(IF(D11&lt;&gt;"",D11,IFERROR(INDEX('Dashboard Items'!$B$2:$B$495,MATCH(E11,'Dashboard Items'!$A$2:$A$495,0)),""))="Work System","Work System: shown, not counted","Check Level"))))</f>
        <v/>
      </c>
    </row>
    <row r="12" ht="15.75" customFormat="1" customHeight="1" s="350">
      <c r="A12" s="357">
        <f>LEFT(B12, FIND("-", B12) - 1)</f>
        <v/>
      </c>
      <c r="B12" s="357" t="inlineStr">
        <is>
          <t>CLERK-CORARESPRATE</t>
        </is>
      </c>
      <c r="C12" s="358" t="inlineStr">
        <is>
          <t>Records request response rate</t>
        </is>
      </c>
      <c r="D12" s="357" t="inlineStr">
        <is>
          <t>Program</t>
        </is>
      </c>
      <c r="E12" s="357" t="inlineStr">
        <is>
          <t>p7</t>
        </is>
      </c>
      <c r="F12" s="359">
        <f>IF(E12="","",IFERROR(IF(INDEX('Dashboard Items'!$B$2:$B$495,MATCH(E12,'Dashboard Items'!$A$2:$A$495,0))="Objective","Objectives go in the next column",IF(OR(D12="",INDEX('Dashboard Items'!$B$2:$B$495,MATCH(E12,'Dashboard Items'!$A$2:$A$495,0))=D12),INDEX('Dashboard Items'!$C$2:$C$495,MATCH(E12,'Dashboard Items'!$A$2:$A$495,0)),"Level does not match ID")),"ID not found"))</f>
        <v/>
      </c>
      <c r="G12" s="360" t="inlineStr">
        <is>
          <t>ks2</t>
        </is>
      </c>
      <c r="H12" s="359">
        <f>IF(G12="","",IF(ISNUMBER(SEARCH(",",G12)),"Several items (the script lists them)",IFERROR(INDEX('Dashboard Items'!$B$2:$B$495,MATCH(G12,'Dashboard Items'!$A$2:$A$495,0))&amp;": "&amp;INDEX('Dashboard Items'!$C$2:$C$495,MATCH(G12,'Dashboard Items'!$A$2:$A$495,0)),"ID not found")))</f>
        <v/>
      </c>
      <c r="I12" s="357" t="inlineStr">
        <is>
          <t>percent</t>
        </is>
      </c>
      <c r="J12" s="357" t="n">
        <v>0</v>
      </c>
      <c r="K12" s="357" t="inlineStr">
        <is>
          <t>Yes</t>
        </is>
      </c>
      <c r="L12" s="357" t="inlineStr">
        <is>
          <t>Target</t>
        </is>
      </c>
      <c r="M12" s="357" t="n"/>
      <c r="N12" s="357" t="n"/>
      <c r="O12" s="357" t="n"/>
      <c r="P12" s="357" t="inlineStr">
        <is>
          <t>Every Quarter</t>
        </is>
      </c>
      <c r="Q12" s="357" t="n"/>
      <c r="R12" s="357" t="n"/>
      <c r="S12" s="357" t="inlineStr">
        <is>
          <t>Share of public records requests closed within 24 hours, each quarter.</t>
        </is>
      </c>
      <c r="T12" s="357" t="inlineStr">
        <is>
          <t>Target: 90% closed within 24 hours. The legal deadline is 3 days. Some requests are delayed while waiting on the requester, especially for payment.</t>
        </is>
      </c>
      <c r="U12" s="355">
        <f>IF(B12="","",IF(IF(D12&lt;&gt;"",D12,IFERROR(INDEX('Dashboard Items'!$B$2:$B$495,MATCH(E12,'Dashboard Items'!$A$2:$A$495,0)),""))="Key Service",IF(O12="No","Key Service: shown, not counted","Counts in Key Service gauge"),IF(IF(D12&lt;&gt;"",D12,IFERROR(INDEX('Dashboard Items'!$B$2:$B$495,MATCH(E12,'Dashboard Items'!$A$2:$A$495,0)),""))="Program",IF(ISNUMBER(SEARCH("ks",G12)),IF(O12="No","Program, also at Key Service: not counted","Counts in Key Service gauge + sets Program chip"),IF(O12="No","Program: shown, no status chip","Sets Program status chip")),IF(IF(D12&lt;&gt;"",D12,IFERROR(INDEX('Dashboard Items'!$B$2:$B$495,MATCH(E12,'Dashboard Items'!$A$2:$A$495,0)),""))="Work System","Work System: shown, not counted","Check Level"))))</f>
        <v/>
      </c>
    </row>
    <row r="13" ht="15.75" customFormat="1" customHeight="1" s="350">
      <c r="A13" s="357">
        <f>LEFT(B13, FIND("-", B13) - 1)</f>
        <v/>
      </c>
      <c r="B13" s="357" t="inlineStr">
        <is>
          <t>CLERK-LIQMARJLIC</t>
        </is>
      </c>
      <c r="C13" s="358" t="inlineStr">
        <is>
          <t>Liquor and marijuana license turnaround</t>
        </is>
      </c>
      <c r="D13" s="357" t="inlineStr">
        <is>
          <t>Program</t>
        </is>
      </c>
      <c r="E13" s="357" t="inlineStr">
        <is>
          <t>p29</t>
        </is>
      </c>
      <c r="F13" s="359">
        <f>IF(E13="","",IFERROR(IF(INDEX('Dashboard Items'!$B$2:$B$495,MATCH(E13,'Dashboard Items'!$A$2:$A$495,0))="Objective","Objectives go in the next column",IF(OR(D13="",INDEX('Dashboard Items'!$B$2:$B$495,MATCH(E13,'Dashboard Items'!$A$2:$A$495,0))=D13),INDEX('Dashboard Items'!$C$2:$C$495,MATCH(E13,'Dashboard Items'!$A$2:$A$495,0)),"Level does not match ID")),"ID not found"))</f>
        <v/>
      </c>
      <c r="G13" s="360" t="inlineStr">
        <is>
          <t>ks2</t>
        </is>
      </c>
      <c r="H13" s="359">
        <f>IF(G13="","",IF(ISNUMBER(SEARCH(",",G13)),"Several items (the script lists them)",IFERROR(INDEX('Dashboard Items'!$B$2:$B$495,MATCH(G13,'Dashboard Items'!$A$2:$A$495,0))&amp;": "&amp;INDEX('Dashboard Items'!$C$2:$C$495,MATCH(G13,'Dashboard Items'!$A$2:$A$495,0)),"ID not found")))</f>
        <v/>
      </c>
      <c r="I13" s="357" t="n"/>
      <c r="J13" s="357" t="n"/>
      <c r="K13" s="357" t="n"/>
      <c r="L13" s="357" t="n"/>
      <c r="M13" s="357" t="n"/>
      <c r="N13" s="357" t="n"/>
      <c r="O13" s="357" t="n"/>
      <c r="P13" s="357" t="n"/>
      <c r="Q13" s="357" t="n"/>
      <c r="R13" s="357" t="n"/>
      <c r="S13" s="357" t="n"/>
      <c r="T13" s="357" t="n"/>
      <c r="U13" s="355">
        <f>IF(B13="","",IF(IF(D13&lt;&gt;"",D13,IFERROR(INDEX('Dashboard Items'!$B$2:$B$495,MATCH(E13,'Dashboard Items'!$A$2:$A$495,0)),""))="Key Service",IF(O13="No","Key Service: shown, not counted","Counts in Key Service gauge"),IF(IF(D13&lt;&gt;"",D13,IFERROR(INDEX('Dashboard Items'!$B$2:$B$495,MATCH(E13,'Dashboard Items'!$A$2:$A$495,0)),""))="Program",IF(ISNUMBER(SEARCH("ks",G13)),IF(O13="No","Program, also at Key Service: not counted","Counts in Key Service gauge + sets Program chip"),IF(O13="No","Program: shown, no status chip","Sets Program status chip")),IF(IF(D13&lt;&gt;"",D13,IFERROR(INDEX('Dashboard Items'!$B$2:$B$495,MATCH(E13,'Dashboard Items'!$A$2:$A$495,0)),""))="Work System","Work System: shown, not counted","Check Level"))))</f>
        <v/>
      </c>
    </row>
    <row r="14" ht="15.75" customFormat="1" customHeight="1" s="350">
      <c r="A14" s="357">
        <f>LEFT(B14, FIND("-", B14) - 1)</f>
        <v/>
      </c>
      <c r="B14" s="357" t="inlineStr">
        <is>
          <t>CLERK-LOGICTEST</t>
        </is>
      </c>
      <c r="C14" s="358" t="inlineStr">
        <is>
          <t>Logic and accuracy test</t>
        </is>
      </c>
      <c r="D14" s="357" t="inlineStr">
        <is>
          <t>Program</t>
        </is>
      </c>
      <c r="E14" s="357" t="inlineStr">
        <is>
          <t>p8</t>
        </is>
      </c>
      <c r="F14" s="359">
        <f>IF(E14="","",IFERROR(IF(INDEX('Dashboard Items'!$B$2:$B$495,MATCH(E14,'Dashboard Items'!$A$2:$A$495,0))="Objective","Objectives go in the next column",IF(OR(D14="",INDEX('Dashboard Items'!$B$2:$B$495,MATCH(E14,'Dashboard Items'!$A$2:$A$495,0))=D14),INDEX('Dashboard Items'!$C$2:$C$495,MATCH(E14,'Dashboard Items'!$A$2:$A$495,0)),"Level does not match ID")),"ID not found"))</f>
        <v/>
      </c>
      <c r="G14" s="360" t="n"/>
      <c r="H14" s="359">
        <f>IF(G14="","",IF(ISNUMBER(SEARCH(",",G14)),"Several items (the script lists them)",IFERROR(INDEX('Dashboard Items'!$B$2:$B$495,MATCH(G14,'Dashboard Items'!$A$2:$A$495,0))&amp;": "&amp;INDEX('Dashboard Items'!$C$2:$C$495,MATCH(G14,'Dashboard Items'!$A$2:$A$495,0)),"ID not found")))</f>
        <v/>
      </c>
      <c r="I14" s="357" t="n"/>
      <c r="J14" s="357" t="n"/>
      <c r="K14" s="357" t="n"/>
      <c r="L14" s="357" t="n"/>
      <c r="M14" s="357" t="n"/>
      <c r="N14" s="357" t="n"/>
      <c r="O14" s="357" t="n"/>
      <c r="P14" s="357" t="n"/>
      <c r="Q14" s="357" t="n"/>
      <c r="R14" s="357" t="n"/>
      <c r="S14" s="357" t="n"/>
      <c r="T14" s="357" t="n"/>
      <c r="U14" s="355">
        <f>IF(B14="","",IF(IF(D14&lt;&gt;"",D14,IFERROR(INDEX('Dashboard Items'!$B$2:$B$495,MATCH(E14,'Dashboard Items'!$A$2:$A$495,0)),""))="Key Service",IF(O14="No","Key Service: shown, not counted","Counts in Key Service gauge"),IF(IF(D14&lt;&gt;"",D14,IFERROR(INDEX('Dashboard Items'!$B$2:$B$495,MATCH(E14,'Dashboard Items'!$A$2:$A$495,0)),""))="Program",IF(ISNUMBER(SEARCH("ks",G14)),IF(O14="No","Program, also at Key Service: not counted","Counts in Key Service gauge + sets Program chip"),IF(O14="No","Program: shown, no status chip","Sets Program status chip")),IF(IF(D14&lt;&gt;"",D14,IFERROR(INDEX('Dashboard Items'!$B$2:$B$495,MATCH(E14,'Dashboard Items'!$A$2:$A$495,0)),""))="Work System","Work System: shown, not counted","Check Level"))))</f>
        <v/>
      </c>
    </row>
    <row r="15" ht="15.75" customFormat="1" customHeight="1" s="350">
      <c r="A15" s="357">
        <f>LEFT(B15, FIND("-", B15) - 1)</f>
        <v/>
      </c>
      <c r="B15" s="357" t="inlineStr">
        <is>
          <t>CLERK-QRESPRATE</t>
        </is>
      </c>
      <c r="C15" s="358" t="inlineStr">
        <is>
          <t>Response rate for public election related questions</t>
        </is>
      </c>
      <c r="D15" s="357" t="inlineStr">
        <is>
          <t>Program</t>
        </is>
      </c>
      <c r="E15" s="357" t="inlineStr">
        <is>
          <t>p8</t>
        </is>
      </c>
      <c r="F15" s="359">
        <f>IF(E15="","",IFERROR(IF(INDEX('Dashboard Items'!$B$2:$B$495,MATCH(E15,'Dashboard Items'!$A$2:$A$495,0))="Objective","Objectives go in the next column",IF(OR(D15="",INDEX('Dashboard Items'!$B$2:$B$495,MATCH(E15,'Dashboard Items'!$A$2:$A$495,0))=D15),INDEX('Dashboard Items'!$C$2:$C$495,MATCH(E15,'Dashboard Items'!$A$2:$A$495,0)),"Level does not match ID")),"ID not found"))</f>
        <v/>
      </c>
      <c r="G15" s="360" t="n"/>
      <c r="H15" s="359">
        <f>IF(G15="","",IF(ISNUMBER(SEARCH(",",G15)),"Several items (the script lists them)",IFERROR(INDEX('Dashboard Items'!$B$2:$B$495,MATCH(G15,'Dashboard Items'!$A$2:$A$495,0))&amp;": "&amp;INDEX('Dashboard Items'!$C$2:$C$495,MATCH(G15,'Dashboard Items'!$A$2:$A$495,0)),"ID not found")))</f>
        <v/>
      </c>
      <c r="I15" s="357" t="n"/>
      <c r="J15" s="357" t="n"/>
      <c r="K15" s="357" t="n"/>
      <c r="L15" s="357" t="n"/>
      <c r="M15" s="357" t="n"/>
      <c r="N15" s="357" t="n"/>
      <c r="O15" s="357" t="n"/>
      <c r="P15" s="357" t="n"/>
      <c r="Q15" s="357" t="n"/>
      <c r="R15" s="357" t="n"/>
      <c r="S15" s="357" t="n"/>
      <c r="T15" s="357" t="n"/>
      <c r="U15" s="355">
        <f>IF(B15="","",IF(IF(D15&lt;&gt;"",D15,IFERROR(INDEX('Dashboard Items'!$B$2:$B$495,MATCH(E15,'Dashboard Items'!$A$2:$A$495,0)),""))="Key Service",IF(O15="No","Key Service: shown, not counted","Counts in Key Service gauge"),IF(IF(D15&lt;&gt;"",D15,IFERROR(INDEX('Dashboard Items'!$B$2:$B$495,MATCH(E15,'Dashboard Items'!$A$2:$A$495,0)),""))="Program",IF(ISNUMBER(SEARCH("ks",G15)),IF(O15="No","Program, also at Key Service: not counted","Counts in Key Service gauge + sets Program chip"),IF(O15="No","Program: shown, no status chip","Sets Program status chip")),IF(IF(D15&lt;&gt;"",D15,IFERROR(INDEX('Dashboard Items'!$B$2:$B$495,MATCH(E15,'Dashboard Items'!$A$2:$A$495,0)),""))="Work System","Work System: shown, not counted","Check Level"))))</f>
        <v/>
      </c>
    </row>
    <row r="16" ht="15.75" customFormat="1" customHeight="1" s="350">
      <c r="A16" s="357">
        <f>LEFT(B16, FIND("-", B16) - 1)</f>
        <v/>
      </c>
      <c r="B16" s="357" t="inlineStr">
        <is>
          <t>CLERK-SPECCOURT</t>
        </is>
      </c>
      <c r="C16" s="358" t="inlineStr">
        <is>
          <t># cases resolved through graduating from specialty court</t>
        </is>
      </c>
      <c r="D16" s="357" t="inlineStr">
        <is>
          <t>Program</t>
        </is>
      </c>
      <c r="E16" s="357" t="inlineStr">
        <is>
          <t>p58</t>
        </is>
      </c>
      <c r="F16" s="359">
        <f>IF(E16="","",IFERROR(IF(INDEX('Dashboard Items'!$B$2:$B$495,MATCH(E16,'Dashboard Items'!$A$2:$A$495,0))="Objective","Objectives go in the next column",IF(OR(D16="",INDEX('Dashboard Items'!$B$2:$B$495,MATCH(E16,'Dashboard Items'!$A$2:$A$495,0))=D16),INDEX('Dashboard Items'!$C$2:$C$495,MATCH(E16,'Dashboard Items'!$A$2:$A$495,0)),"Level does not match ID")),"ID not found"))</f>
        <v/>
      </c>
      <c r="G16" s="360" t="inlineStr">
        <is>
          <t>ks12</t>
        </is>
      </c>
      <c r="H16" s="359">
        <f>IF(G16="","",IF(ISNUMBER(SEARCH(",",G16)),"Several items (the script lists them)",IFERROR(INDEX('Dashboard Items'!$B$2:$B$495,MATCH(G16,'Dashboard Items'!$A$2:$A$495,0))&amp;": "&amp;INDEX('Dashboard Items'!$C$2:$C$495,MATCH(G16,'Dashboard Items'!$A$2:$A$495,0)),"ID not found")))</f>
        <v/>
      </c>
      <c r="I16" s="357" t="n"/>
      <c r="J16" s="357" t="n"/>
      <c r="K16" s="357" t="n"/>
      <c r="L16" s="357" t="n"/>
      <c r="M16" s="357" t="n"/>
      <c r="N16" s="357" t="n"/>
      <c r="O16" s="357" t="n"/>
      <c r="P16" s="357" t="n"/>
      <c r="Q16" s="357" t="n"/>
      <c r="R16" s="357" t="n"/>
      <c r="S16" s="357" t="n"/>
      <c r="T16" s="357" t="n"/>
      <c r="U16" s="355">
        <f>IF(B16="","",IF(IF(D16&lt;&gt;"",D16,IFERROR(INDEX('Dashboard Items'!$B$2:$B$495,MATCH(E16,'Dashboard Items'!$A$2:$A$495,0)),""))="Key Service",IF(O16="No","Key Service: shown, not counted","Counts in Key Service gauge"),IF(IF(D16&lt;&gt;"",D16,IFERROR(INDEX('Dashboard Items'!$B$2:$B$495,MATCH(E16,'Dashboard Items'!$A$2:$A$495,0)),""))="Program",IF(ISNUMBER(SEARCH("ks",G16)),IF(O16="No","Program, also at Key Service: not counted","Counts in Key Service gauge + sets Program chip"),IF(O16="No","Program: shown, no status chip","Sets Program status chip")),IF(IF(D16&lt;&gt;"",D16,IFERROR(INDEX('Dashboard Items'!$B$2:$B$495,MATCH(E16,'Dashboard Items'!$A$2:$A$495,0)),""))="Work System","Work System: shown, not counted","Check Level"))))</f>
        <v/>
      </c>
    </row>
    <row r="17" ht="15.75" customFormat="1" customHeight="1" s="350">
      <c r="A17" s="357">
        <f>LEFT(B17, FIND("-", B17) - 1)</f>
        <v/>
      </c>
      <c r="B17" s="357" t="inlineStr">
        <is>
          <t>CLERK-VOTERTURNOUT</t>
        </is>
      </c>
      <c r="C17" s="358" t="inlineStr">
        <is>
          <t>Voter turnout (%)</t>
        </is>
      </c>
      <c r="D17" s="357" t="inlineStr">
        <is>
          <t>Program</t>
        </is>
      </c>
      <c r="E17" s="357" t="inlineStr">
        <is>
          <t>p8</t>
        </is>
      </c>
      <c r="F17" s="359">
        <f>IF(E17="","",IFERROR(IF(INDEX('Dashboard Items'!$B$2:$B$495,MATCH(E17,'Dashboard Items'!$A$2:$A$495,0))="Objective","Objectives go in the next column",IF(OR(D17="",INDEX('Dashboard Items'!$B$2:$B$495,MATCH(E17,'Dashboard Items'!$A$2:$A$495,0))=D17),INDEX('Dashboard Items'!$C$2:$C$495,MATCH(E17,'Dashboard Items'!$A$2:$A$495,0)),"Level does not match ID")),"ID not found"))</f>
        <v/>
      </c>
      <c r="G17" s="360" t="inlineStr">
        <is>
          <t>ks2</t>
        </is>
      </c>
      <c r="H17" s="359">
        <f>IF(G17="","",IF(ISNUMBER(SEARCH(",",G17)),"Several items (the script lists them)",IFERROR(INDEX('Dashboard Items'!$B$2:$B$495,MATCH(G17,'Dashboard Items'!$A$2:$A$495,0))&amp;": "&amp;INDEX('Dashboard Items'!$C$2:$C$495,MATCH(G17,'Dashboard Items'!$A$2:$A$495,0)),"ID not found")))</f>
        <v/>
      </c>
      <c r="I17" s="357" t="n"/>
      <c r="J17" s="357" t="n"/>
      <c r="K17" s="357" t="n"/>
      <c r="L17" s="357" t="n"/>
      <c r="M17" s="357" t="n"/>
      <c r="N17" s="357" t="n"/>
      <c r="O17" s="357" t="n"/>
      <c r="P17" s="357" t="n"/>
      <c r="Q17" s="357" t="n"/>
      <c r="R17" s="357" t="n"/>
      <c r="S17" s="357" t="n"/>
      <c r="T17" s="357" t="n"/>
      <c r="U17" s="355">
        <f>IF(B17="","",IF(IF(D17&lt;&gt;"",D17,IFERROR(INDEX('Dashboard Items'!$B$2:$B$495,MATCH(E17,'Dashboard Items'!$A$2:$A$495,0)),""))="Key Service",IF(O17="No","Key Service: shown, not counted","Counts in Key Service gauge"),IF(IF(D17&lt;&gt;"",D17,IFERROR(INDEX('Dashboard Items'!$B$2:$B$495,MATCH(E17,'Dashboard Items'!$A$2:$A$495,0)),""))="Program",IF(ISNUMBER(SEARCH("ks",G17)),IF(O17="No","Program, also at Key Service: not counted","Counts in Key Service gauge + sets Program chip"),IF(O17="No","Program: shown, no status chip","Sets Program status chip")),IF(IF(D17&lt;&gt;"",D17,IFERROR(INDEX('Dashboard Items'!$B$2:$B$495,MATCH(E17,'Dashboard Items'!$A$2:$A$495,0)),""))="Work System","Work System: shown, not counted","Check Level"))))</f>
        <v/>
      </c>
    </row>
    <row r="18" ht="15.75" customFormat="1" customHeight="1" s="350">
      <c r="A18" s="351">
        <f>LEFT(B18, FIND("-", B18) - 1)</f>
        <v/>
      </c>
      <c r="B18" s="351" t="inlineStr">
        <is>
          <t>HR-ACCREVBOARD</t>
        </is>
      </c>
      <c r="C18" s="361" t="inlineStr">
        <is>
          <t>Accident Review Board - Average or cumulative severity?</t>
        </is>
      </c>
      <c r="D18" s="351" t="inlineStr">
        <is>
          <t>Program</t>
        </is>
      </c>
      <c r="E18" s="351" t="inlineStr">
        <is>
          <t>p27</t>
        </is>
      </c>
      <c r="F18" s="353">
        <f>IF(E18="","",IFERROR(IF(INDEX('Dashboard Items'!$B$2:$B$495,MATCH(E18,'Dashboard Items'!$A$2:$A$495,0))="Objective","Objectives go in the next column",IF(OR(D18="",INDEX('Dashboard Items'!$B$2:$B$495,MATCH(E18,'Dashboard Items'!$A$2:$A$495,0))=D18),INDEX('Dashboard Items'!$C$2:$C$495,MATCH(E18,'Dashboard Items'!$A$2:$A$495,0)),"Level does not match ID")),"ID not found"))</f>
        <v/>
      </c>
      <c r="G18" s="354" t="n"/>
      <c r="H18" s="353">
        <f>IF(G18="","",IF(ISNUMBER(SEARCH(",",G18)),"Several items (the script lists them)",IFERROR(INDEX('Dashboard Items'!$B$2:$B$495,MATCH(G18,'Dashboard Items'!$A$2:$A$495,0))&amp;": "&amp;INDEX('Dashboard Items'!$C$2:$C$495,MATCH(G18,'Dashboard Items'!$A$2:$A$495,0)),"ID not found")))</f>
        <v/>
      </c>
      <c r="I18" s="351" t="n"/>
      <c r="J18" s="351" t="n"/>
      <c r="K18" s="351" t="n"/>
      <c r="L18" s="351" t="n"/>
      <c r="M18" s="351" t="n"/>
      <c r="N18" s="351" t="n"/>
      <c r="O18" s="351" t="n"/>
      <c r="P18" s="351" t="n"/>
      <c r="Q18" s="351" t="n"/>
      <c r="R18" s="351" t="n"/>
      <c r="S18" s="351" t="n"/>
      <c r="T18" s="351" t="n"/>
      <c r="U18" s="355">
        <f>IF(B18="","",IF(IF(D18&lt;&gt;"",D18,IFERROR(INDEX('Dashboard Items'!$B$2:$B$495,MATCH(E18,'Dashboard Items'!$A$2:$A$495,0)),""))="Key Service",IF(O18="No","Key Service: shown, not counted","Counts in Key Service gauge"),IF(IF(D18&lt;&gt;"",D18,IFERROR(INDEX('Dashboard Items'!$B$2:$B$495,MATCH(E18,'Dashboard Items'!$A$2:$A$495,0)),""))="Program",IF(ISNUMBER(SEARCH("ks",G18)),IF(O18="No","Program, also at Key Service: not counted","Counts in Key Service gauge + sets Program chip"),IF(O18="No","Program: shown, no status chip","Sets Program status chip")),IF(IF(D18&lt;&gt;"",D18,IFERROR(INDEX('Dashboard Items'!$B$2:$B$495,MATCH(E18,'Dashboard Items'!$A$2:$A$495,0)),""))="Work System","Work System: shown, not counted","Check Level"))))</f>
        <v/>
      </c>
    </row>
    <row r="19" ht="15.75" customFormat="1" customHeight="1" s="350">
      <c r="A19" s="351">
        <f>LEFT(B19, FIND("-", B19) - 1)</f>
        <v/>
      </c>
      <c r="B19" s="351" t="inlineStr">
        <is>
          <t>HR-APPPERREC</t>
        </is>
      </c>
      <c r="C19" s="361" t="inlineStr">
        <is>
          <t>Attracting: applications per recruitment</t>
        </is>
      </c>
      <c r="D19" s="351" t="inlineStr">
        <is>
          <t>Program</t>
        </is>
      </c>
      <c r="E19" s="351" t="inlineStr">
        <is>
          <t>p24</t>
        </is>
      </c>
      <c r="F19" s="353">
        <f>IF(E19="","",IFERROR(IF(INDEX('Dashboard Items'!$B$2:$B$495,MATCH(E19,'Dashboard Items'!$A$2:$A$495,0))="Objective","Objectives go in the next column",IF(OR(D19="",INDEX('Dashboard Items'!$B$2:$B$495,MATCH(E19,'Dashboard Items'!$A$2:$A$495,0))=D19),INDEX('Dashboard Items'!$C$2:$C$495,MATCH(E19,'Dashboard Items'!$A$2:$A$495,0)),"Level does not match ID")),"ID not found"))</f>
        <v/>
      </c>
      <c r="G19" s="354" t="n"/>
      <c r="H19" s="353">
        <f>IF(G19="","",IF(ISNUMBER(SEARCH(",",G19)),"Several items (the script lists them)",IFERROR(INDEX('Dashboard Items'!$B$2:$B$495,MATCH(G19,'Dashboard Items'!$A$2:$A$495,0))&amp;": "&amp;INDEX('Dashboard Items'!$C$2:$C$495,MATCH(G19,'Dashboard Items'!$A$2:$A$495,0)),"ID not found")))</f>
        <v/>
      </c>
      <c r="I19" s="351" t="n"/>
      <c r="J19" s="351" t="n"/>
      <c r="K19" s="351" t="n"/>
      <c r="L19" s="351" t="n"/>
      <c r="M19" s="351" t="n"/>
      <c r="N19" s="351" t="n"/>
      <c r="O19" s="351" t="n"/>
      <c r="P19" s="351" t="n"/>
      <c r="Q19" s="351" t="inlineStr">
        <is>
          <t>Safety / Risk Administrator</t>
        </is>
      </c>
      <c r="R19" s="351" t="n"/>
      <c r="S19" s="351" t="n"/>
      <c r="T19" s="351" t="n"/>
      <c r="U19" s="355">
        <f>IF(B19="","",IF(IF(D19&lt;&gt;"",D19,IFERROR(INDEX('Dashboard Items'!$B$2:$B$495,MATCH(E19,'Dashboard Items'!$A$2:$A$495,0)),""))="Key Service",IF(O19="No","Key Service: shown, not counted","Counts in Key Service gauge"),IF(IF(D19&lt;&gt;"",D19,IFERROR(INDEX('Dashboard Items'!$B$2:$B$495,MATCH(E19,'Dashboard Items'!$A$2:$A$495,0)),""))="Program",IF(ISNUMBER(SEARCH("ks",G19)),IF(O19="No","Program, also at Key Service: not counted","Counts in Key Service gauge + sets Program chip"),IF(O19="No","Program: shown, no status chip","Sets Program status chip")),IF(IF(D19&lt;&gt;"",D19,IFERROR(INDEX('Dashboard Items'!$B$2:$B$495,MATCH(E19,'Dashboard Items'!$A$2:$A$495,0)),""))="Work System","Work System: shown, not counted","Check Level"))))</f>
        <v/>
      </c>
    </row>
    <row r="20" ht="15.75" customFormat="1" customHeight="1" s="350">
      <c r="A20" s="351">
        <f>LEFT(B20, FIND("-", B20) - 1)</f>
        <v/>
      </c>
      <c r="B20" s="351" t="inlineStr">
        <is>
          <t>HR-CFT</t>
        </is>
      </c>
      <c r="C20" s="361" t="inlineStr">
        <is>
          <t>CFT participation</t>
        </is>
      </c>
      <c r="D20" s="351" t="inlineStr">
        <is>
          <t>Program</t>
        </is>
      </c>
      <c r="E20" s="351" t="inlineStr">
        <is>
          <t>p22</t>
        </is>
      </c>
      <c r="F20" s="353">
        <f>IF(E20="","",IFERROR(IF(INDEX('Dashboard Items'!$B$2:$B$495,MATCH(E20,'Dashboard Items'!$A$2:$A$495,0))="Objective","Objectives go in the next column",IF(OR(D20="",INDEX('Dashboard Items'!$B$2:$B$495,MATCH(E20,'Dashboard Items'!$A$2:$A$495,0))=D20),INDEX('Dashboard Items'!$C$2:$C$495,MATCH(E20,'Dashboard Items'!$A$2:$A$495,0)),"Level does not match ID")),"ID not found"))</f>
        <v/>
      </c>
      <c r="G20" s="354" t="n"/>
      <c r="H20" s="353">
        <f>IF(G20="","",IF(ISNUMBER(SEARCH(",",G20)),"Several items (the script lists them)",IFERROR(INDEX('Dashboard Items'!$B$2:$B$495,MATCH(G20,'Dashboard Items'!$A$2:$A$495,0))&amp;": "&amp;INDEX('Dashboard Items'!$C$2:$C$495,MATCH(G20,'Dashboard Items'!$A$2:$A$495,0)),"ID not found")))</f>
        <v/>
      </c>
      <c r="I20" s="351" t="n"/>
      <c r="J20" s="351" t="n"/>
      <c r="K20" s="351" t="n"/>
      <c r="L20" s="351" t="n"/>
      <c r="M20" s="351" t="n"/>
      <c r="N20" s="351" t="n"/>
      <c r="O20" s="351" t="n"/>
      <c r="P20" s="351" t="n"/>
      <c r="Q20" s="351" t="n"/>
      <c r="R20" s="351" t="n"/>
      <c r="S20" s="351" t="n"/>
      <c r="T20" s="351" t="n"/>
      <c r="U20" s="355">
        <f>IF(B20="","",IF(IF(D20&lt;&gt;"",D20,IFERROR(INDEX('Dashboard Items'!$B$2:$B$495,MATCH(E20,'Dashboard Items'!$A$2:$A$495,0)),""))="Key Service",IF(O20="No","Key Service: shown, not counted","Counts in Key Service gauge"),IF(IF(D20&lt;&gt;"",D20,IFERROR(INDEX('Dashboard Items'!$B$2:$B$495,MATCH(E20,'Dashboard Items'!$A$2:$A$495,0)),""))="Program",IF(ISNUMBER(SEARCH("ks",G20)),IF(O20="No","Program, also at Key Service: not counted","Counts in Key Service gauge + sets Program chip"),IF(O20="No","Program: shown, no status chip","Sets Program status chip")),IF(IF(D20&lt;&gt;"",D20,IFERROR(INDEX('Dashboard Items'!$B$2:$B$495,MATCH(E20,'Dashboard Items'!$A$2:$A$495,0)),""))="Work System","Work System: shown, not counted","Check Level"))))</f>
        <v/>
      </c>
    </row>
    <row r="21" ht="15.75" customFormat="1" customHeight="1" s="350">
      <c r="A21" s="351">
        <f>LEFT(B21, FIND("-", B21) - 1)</f>
        <v/>
      </c>
      <c r="B21" s="351" t="inlineStr">
        <is>
          <t>HR-COMPANDBEN</t>
        </is>
      </c>
      <c r="C21" s="361" t="inlineStr">
        <is>
          <t>Employee Engagement Survey: satisfaction with compensation and benefits</t>
        </is>
      </c>
      <c r="D21" s="351" t="inlineStr">
        <is>
          <t>Program</t>
        </is>
      </c>
      <c r="E21" s="351" t="inlineStr">
        <is>
          <t>p25</t>
        </is>
      </c>
      <c r="F21" s="353">
        <f>IF(E21="","",IFERROR(IF(INDEX('Dashboard Items'!$B$2:$B$495,MATCH(E21,'Dashboard Items'!$A$2:$A$495,0))="Objective","Objectives go in the next column",IF(OR(D21="",INDEX('Dashboard Items'!$B$2:$B$495,MATCH(E21,'Dashboard Items'!$A$2:$A$495,0))=D21),INDEX('Dashboard Items'!$C$2:$C$495,MATCH(E21,'Dashboard Items'!$A$2:$A$495,0)),"Level does not match ID")),"ID not found"))</f>
        <v/>
      </c>
      <c r="G21" s="354" t="n"/>
      <c r="H21" s="353">
        <f>IF(G21="","",IF(ISNUMBER(SEARCH(",",G21)),"Several items (the script lists them)",IFERROR(INDEX('Dashboard Items'!$B$2:$B$495,MATCH(G21,'Dashboard Items'!$A$2:$A$495,0))&amp;": "&amp;INDEX('Dashboard Items'!$C$2:$C$495,MATCH(G21,'Dashboard Items'!$A$2:$A$495,0)),"ID not found")))</f>
        <v/>
      </c>
      <c r="I21" s="351" t="n"/>
      <c r="J21" s="351" t="n"/>
      <c r="K21" s="351" t="n"/>
      <c r="L21" s="351" t="n"/>
      <c r="M21" s="351" t="n"/>
      <c r="N21" s="351" t="n"/>
      <c r="O21" s="351" t="n"/>
      <c r="P21" s="351" t="n"/>
      <c r="Q21" s="351" t="n"/>
      <c r="R21" s="351" t="n"/>
      <c r="S21" s="351" t="n"/>
      <c r="T21" s="351" t="n"/>
      <c r="U21" s="355">
        <f>IF(B21="","",IF(IF(D21&lt;&gt;"",D21,IFERROR(INDEX('Dashboard Items'!$B$2:$B$495,MATCH(E21,'Dashboard Items'!$A$2:$A$495,0)),""))="Key Service",IF(O21="No","Key Service: shown, not counted","Counts in Key Service gauge"),IF(IF(D21&lt;&gt;"",D21,IFERROR(INDEX('Dashboard Items'!$B$2:$B$495,MATCH(E21,'Dashboard Items'!$A$2:$A$495,0)),""))="Program",IF(ISNUMBER(SEARCH("ks",G21)),IF(O21="No","Program, also at Key Service: not counted","Counts in Key Service gauge + sets Program chip"),IF(O21="No","Program: shown, no status chip","Sets Program status chip")),IF(IF(D21&lt;&gt;"",D21,IFERROR(INDEX('Dashboard Items'!$B$2:$B$495,MATCH(E21,'Dashboard Items'!$A$2:$A$495,0)),""))="Work System","Work System: shown, not counted","Check Level"))))</f>
        <v/>
      </c>
    </row>
    <row r="22" ht="15.75" customFormat="1" customHeight="1" s="362">
      <c r="A22" s="351">
        <f>LEFT(B22, FIND("-", B22) - 1)</f>
        <v/>
      </c>
      <c r="B22" s="363" t="inlineStr">
        <is>
          <t>HR-DOTCOMPSCORE</t>
        </is>
      </c>
      <c r="C22" s="361" t="inlineStr">
        <is>
          <t>DOT Compliance Score (employees with CDLs)</t>
        </is>
      </c>
      <c r="D22" s="351" t="inlineStr">
        <is>
          <t>Program</t>
        </is>
      </c>
      <c r="E22" s="351" t="inlineStr">
        <is>
          <t>p27</t>
        </is>
      </c>
      <c r="F22" s="353">
        <f>IF(E22="","",IFERROR(IF(INDEX('Dashboard Items'!$B$2:$B$495,MATCH(E22,'Dashboard Items'!$A$2:$A$495,0))="Objective","Objectives go in the next column",IF(OR(D22="",INDEX('Dashboard Items'!$B$2:$B$495,MATCH(E22,'Dashboard Items'!$A$2:$A$495,0))=D22),INDEX('Dashboard Items'!$C$2:$C$495,MATCH(E22,'Dashboard Items'!$A$2:$A$495,0)),"Level does not match ID")),"ID not found"))</f>
        <v/>
      </c>
      <c r="G22" s="354" t="n"/>
      <c r="H22" s="353">
        <f>IF(G22="","",IF(ISNUMBER(SEARCH(",",G22)),"Several items (the script lists them)",IFERROR(INDEX('Dashboard Items'!$B$2:$B$495,MATCH(G22,'Dashboard Items'!$A$2:$A$495,0))&amp;": "&amp;INDEX('Dashboard Items'!$C$2:$C$495,MATCH(G22,'Dashboard Items'!$A$2:$A$495,0)),"ID not found")))</f>
        <v/>
      </c>
      <c r="I22" s="351" t="n"/>
      <c r="J22" s="351" t="n"/>
      <c r="K22" s="351" t="n"/>
      <c r="L22" s="351" t="n"/>
      <c r="M22" s="351" t="n"/>
      <c r="N22" s="351" t="n"/>
      <c r="O22" s="351" t="n"/>
      <c r="P22" s="351" t="n"/>
      <c r="Q22" s="351" t="n"/>
      <c r="R22" s="351" t="n"/>
      <c r="S22" s="351" t="n"/>
      <c r="T22" s="351" t="n"/>
      <c r="U22" s="355">
        <f>IF(B22="","",IF(IF(D22&lt;&gt;"",D22,IFERROR(INDEX('Dashboard Items'!$B$2:$B$495,MATCH(E22,'Dashboard Items'!$A$2:$A$495,0)),""))="Key Service",IF(O22="No","Key Service: shown, not counted","Counts in Key Service gauge"),IF(IF(D22&lt;&gt;"",D22,IFERROR(INDEX('Dashboard Items'!$B$2:$B$495,MATCH(E22,'Dashboard Items'!$A$2:$A$495,0)),""))="Program",IF(ISNUMBER(SEARCH("ks",G22)),IF(O22="No","Program, also at Key Service: not counted","Counts in Key Service gauge + sets Program chip"),IF(O22="No","Program: shown, no status chip","Sets Program status chip")),IF(IF(D22&lt;&gt;"",D22,IFERROR(INDEX('Dashboard Items'!$B$2:$B$495,MATCH(E22,'Dashboard Items'!$A$2:$A$495,0)),""))="Work System","Work System: shown, not counted","Check Level"))))</f>
        <v/>
      </c>
    </row>
    <row r="23" ht="15.75" customFormat="1" customHeight="1" s="362">
      <c r="A23" s="351">
        <f>LEFT(B23, FIND("-", B23) - 1)</f>
        <v/>
      </c>
      <c r="B23" s="364" t="inlineStr">
        <is>
          <t>HR-EMOD</t>
        </is>
      </c>
      <c r="C23" s="361" t="inlineStr">
        <is>
          <t>EMOD (experience modification) for Work Comp - annually from Pinnacol, score dictates premium</t>
        </is>
      </c>
      <c r="D23" s="351" t="inlineStr">
        <is>
          <t>Program</t>
        </is>
      </c>
      <c r="E23" s="351" t="inlineStr">
        <is>
          <t>p27</t>
        </is>
      </c>
      <c r="F23" s="353">
        <f>IF(E23="","",IFERROR(IF(INDEX('Dashboard Items'!$B$2:$B$495,MATCH(E23,'Dashboard Items'!$A$2:$A$495,0))="Objective","Objectives go in the next column",IF(OR(D23="",INDEX('Dashboard Items'!$B$2:$B$495,MATCH(E23,'Dashboard Items'!$A$2:$A$495,0))=D23),INDEX('Dashboard Items'!$C$2:$C$495,MATCH(E23,'Dashboard Items'!$A$2:$A$495,0)),"Level does not match ID")),"ID not found"))</f>
        <v/>
      </c>
      <c r="G23" s="354" t="n"/>
      <c r="H23" s="353">
        <f>IF(G23="","",IF(ISNUMBER(SEARCH(",",G23)),"Several items (the script lists them)",IFERROR(INDEX('Dashboard Items'!$B$2:$B$495,MATCH(G23,'Dashboard Items'!$A$2:$A$495,0))&amp;": "&amp;INDEX('Dashboard Items'!$C$2:$C$495,MATCH(G23,'Dashboard Items'!$A$2:$A$495,0)),"ID not found")))</f>
        <v/>
      </c>
      <c r="I23" s="351" t="n"/>
      <c r="J23" s="351" t="n"/>
      <c r="K23" s="351" t="n"/>
      <c r="L23" s="351" t="n"/>
      <c r="M23" s="351" t="n"/>
      <c r="N23" s="351" t="n"/>
      <c r="O23" s="351" t="n"/>
      <c r="P23" s="351" t="n"/>
      <c r="Q23" s="351" t="n"/>
      <c r="R23" s="351" t="n"/>
      <c r="S23" s="351" t="n"/>
      <c r="T23" s="351" t="n"/>
      <c r="U23" s="355">
        <f>IF(B23="","",IF(IF(D23&lt;&gt;"",D23,IFERROR(INDEX('Dashboard Items'!$B$2:$B$495,MATCH(E23,'Dashboard Items'!$A$2:$A$495,0)),""))="Key Service",IF(O23="No","Key Service: shown, not counted","Counts in Key Service gauge"),IF(IF(D23&lt;&gt;"",D23,IFERROR(INDEX('Dashboard Items'!$B$2:$B$495,MATCH(E23,'Dashboard Items'!$A$2:$A$495,0)),""))="Program",IF(ISNUMBER(SEARCH("ks",G23)),IF(O23="No","Program, also at Key Service: not counted","Counts in Key Service gauge + sets Program chip"),IF(O23="No","Program: shown, no status chip","Sets Program status chip")),IF(IF(D23&lt;&gt;"",D23,IFERROR(INDEX('Dashboard Items'!$B$2:$B$495,MATCH(E23,'Dashboard Items'!$A$2:$A$495,0)),""))="Work System","Work System: shown, not counted","Check Level"))))</f>
        <v/>
      </c>
    </row>
    <row r="24" ht="15" customFormat="1" customHeight="1" s="362">
      <c r="A24" s="351">
        <f>LEFT(B24, FIND("-", B24) - 1)</f>
        <v/>
      </c>
      <c r="B24" s="351" t="inlineStr">
        <is>
          <t>HR-EMPENG</t>
        </is>
      </c>
      <c r="C24" s="361" t="inlineStr">
        <is>
          <t>Employee engagement score</t>
        </is>
      </c>
      <c r="D24" s="351" t="inlineStr">
        <is>
          <t>Key Service</t>
        </is>
      </c>
      <c r="E24" s="351" t="inlineStr">
        <is>
          <t>ks5</t>
        </is>
      </c>
      <c r="F24" s="353">
        <f>IF(E24="","",IFERROR(IF(INDEX('Dashboard Items'!$B$2:$B$495,MATCH(E24,'Dashboard Items'!$A$2:$A$495,0))="Objective","Objectives go in the next column",IF(OR(D24="",INDEX('Dashboard Items'!$B$2:$B$495,MATCH(E24,'Dashboard Items'!$A$2:$A$495,0))=D24),INDEX('Dashboard Items'!$C$2:$C$495,MATCH(E24,'Dashboard Items'!$A$2:$A$495,0)),"Level does not match ID")),"ID not found"))</f>
        <v/>
      </c>
      <c r="G24" s="354" t="inlineStr">
        <is>
          <t>ob18, p24</t>
        </is>
      </c>
      <c r="H24" s="353">
        <f>IF(G24="","",IF(ISNUMBER(SEARCH(",",G24)),"Several items (the script lists them)",IFERROR(INDEX('Dashboard Items'!$B$2:$B$495,MATCH(G24,'Dashboard Items'!$A$2:$A$495,0))&amp;": "&amp;INDEX('Dashboard Items'!$C$2:$C$495,MATCH(G24,'Dashboard Items'!$A$2:$A$495,0)),"ID not found")))</f>
        <v/>
      </c>
      <c r="I24" s="351" t="inlineStr">
        <is>
          <t>percent</t>
        </is>
      </c>
      <c r="J24" s="351" t="n">
        <v>1</v>
      </c>
      <c r="K24" s="351" t="inlineStr">
        <is>
          <t>Yes</t>
        </is>
      </c>
      <c r="L24" s="351" t="inlineStr">
        <is>
          <t>Target</t>
        </is>
      </c>
      <c r="M24" s="351" t="n">
        <v>5</v>
      </c>
      <c r="N24" s="351" t="n">
        <v>15</v>
      </c>
      <c r="O24" s="351" t="inlineStr">
        <is>
          <t>Yes</t>
        </is>
      </c>
      <c r="P24" s="351" t="inlineStr">
        <is>
          <t>Every 2 years</t>
        </is>
      </c>
      <c r="Q24" s="351" t="inlineStr">
        <is>
          <t>HR Director</t>
        </is>
      </c>
      <c r="R24" s="351" t="inlineStr">
        <is>
          <t>Employee Survey</t>
        </is>
      </c>
      <c r="S24" s="351" t="inlineStr">
        <is>
          <t>Overall engagement score from the City employee survey, compared with the survey benchmark.</t>
        </is>
      </c>
      <c r="T24" s="351" t="n"/>
      <c r="U24" s="355">
        <f>IF(B24="","",IF(IF(D24&lt;&gt;"",D24,IFERROR(INDEX('Dashboard Items'!$B$2:$B$495,MATCH(E24,'Dashboard Items'!$A$2:$A$495,0)),""))="Key Service",IF(O24="No","Key Service: shown, not counted","Counts in Key Service gauge"),IF(IF(D24&lt;&gt;"",D24,IFERROR(INDEX('Dashboard Items'!$B$2:$B$495,MATCH(E24,'Dashboard Items'!$A$2:$A$495,0)),""))="Program",IF(ISNUMBER(SEARCH("ks",G24)),IF(O24="No","Program, also at Key Service: not counted","Counts in Key Service gauge + sets Program chip"),IF(O24="No","Program: shown, no status chip","Sets Program status chip")),IF(IF(D24&lt;&gt;"",D24,IFERROR(INDEX('Dashboard Items'!$B$2:$B$495,MATCH(E24,'Dashboard Items'!$A$2:$A$495,0)),""))="Work System","Work System: shown, not counted","Check Level"))))</f>
        <v/>
      </c>
    </row>
    <row r="25" ht="15" customFormat="1" customHeight="1" s="362">
      <c r="A25" s="351">
        <f>LEFT(B25, FIND("-", B25) - 1)</f>
        <v/>
      </c>
      <c r="B25" s="351" t="inlineStr">
        <is>
          <t>HR-INTPROMO</t>
        </is>
      </c>
      <c r="C25" s="361" t="inlineStr">
        <is>
          <t>Retain &amp; Develop: Internal promotion rate</t>
        </is>
      </c>
      <c r="D25" s="351" t="inlineStr">
        <is>
          <t>Key Service</t>
        </is>
      </c>
      <c r="E25" s="351" t="inlineStr">
        <is>
          <t>ks5</t>
        </is>
      </c>
      <c r="F25" s="353">
        <f>IF(E25="","",IFERROR(IF(INDEX('Dashboard Items'!$B$2:$B$495,MATCH(E25,'Dashboard Items'!$A$2:$A$495,0))="Objective","Objectives go in the next column",IF(OR(D25="",INDEX('Dashboard Items'!$B$2:$B$495,MATCH(E25,'Dashboard Items'!$A$2:$A$495,0))=D25),INDEX('Dashboard Items'!$C$2:$C$495,MATCH(E25,'Dashboard Items'!$A$2:$A$495,0)),"Level does not match ID")),"ID not found"))</f>
        <v/>
      </c>
      <c r="G25" s="351" t="inlineStr">
        <is>
          <t>p24</t>
        </is>
      </c>
      <c r="H25" s="353">
        <f>IF(G25="","",IF(ISNUMBER(SEARCH(",",G25)),"Several items (the script lists them)",IFERROR(INDEX('Dashboard Items'!$B$2:$B$495,MATCH(G25,'Dashboard Items'!$A$2:$A$495,0))&amp;": "&amp;INDEX('Dashboard Items'!$C$2:$C$495,MATCH(G25,'Dashboard Items'!$A$2:$A$495,0)),"ID not found")))</f>
        <v/>
      </c>
      <c r="I25" s="351" t="inlineStr">
        <is>
          <t>percent</t>
        </is>
      </c>
      <c r="J25" s="351" t="n">
        <v>2</v>
      </c>
      <c r="K25" s="351" t="inlineStr">
        <is>
          <t>Yes</t>
        </is>
      </c>
      <c r="L25" s="351" t="inlineStr">
        <is>
          <t>Target</t>
        </is>
      </c>
      <c r="M25" s="351" t="n"/>
      <c r="N25" s="351" t="n"/>
      <c r="O25" s="351" t="n"/>
      <c r="P25" s="351" t="inlineStr">
        <is>
          <t>Every year</t>
        </is>
      </c>
      <c r="Q25" s="351" t="n"/>
      <c r="R25" s="351" t="n"/>
      <c r="S25" s="351" t="inlineStr">
        <is>
          <t>Internal promotion rate for full-time City positions each fiscal year.</t>
        </is>
      </c>
      <c r="T25" s="351" t="inlineStr">
        <is>
          <t>Target: 10%. Benchmark: 6%, SHRM's average internal promotion rate.</t>
        </is>
      </c>
      <c r="U25" s="355">
        <f>IF(B25="","",IF(IF(D25&lt;&gt;"",D25,IFERROR(INDEX('Dashboard Items'!$B$2:$B$495,MATCH(E25,'Dashboard Items'!$A$2:$A$495,0)),""))="Key Service",IF(O25="No","Key Service: shown, not counted","Counts in Key Service gauge"),IF(IF(D25&lt;&gt;"",D25,IFERROR(INDEX('Dashboard Items'!$B$2:$B$495,MATCH(E25,'Dashboard Items'!$A$2:$A$495,0)),""))="Program",IF(ISNUMBER(SEARCH("ks",G25)),IF(O25="No","Program, also at Key Service: not counted","Counts in Key Service gauge + sets Program chip"),IF(O25="No","Program: shown, no status chip","Sets Program status chip")),IF(IF(D25&lt;&gt;"",D25,IFERROR(INDEX('Dashboard Items'!$B$2:$B$495,MATCH(E25,'Dashboard Items'!$A$2:$A$495,0)),""))="Work System","Work System: shown, not counted","Check Level"))))</f>
        <v/>
      </c>
    </row>
    <row r="26" ht="15.75" customFormat="1" customHeight="1" s="365">
      <c r="A26" s="351">
        <f>LEFT(B26, FIND("-", B26) - 1)</f>
        <v/>
      </c>
      <c r="B26" s="351" t="inlineStr">
        <is>
          <t>HR-JOBPOSTVIEW</t>
        </is>
      </c>
      <c r="C26" s="361" t="inlineStr">
        <is>
          <t>Attracting: job posting view</t>
        </is>
      </c>
      <c r="D26" s="351" t="inlineStr">
        <is>
          <t>Program</t>
        </is>
      </c>
      <c r="E26" s="351" t="inlineStr">
        <is>
          <t>p24</t>
        </is>
      </c>
      <c r="F26" s="353">
        <f>IF(E26="","",IFERROR(IF(INDEX('Dashboard Items'!$B$2:$B$495,MATCH(E26,'Dashboard Items'!$A$2:$A$495,0))="Objective","Objectives go in the next column",IF(OR(D26="",INDEX('Dashboard Items'!$B$2:$B$495,MATCH(E26,'Dashboard Items'!$A$2:$A$495,0))=D26),INDEX('Dashboard Items'!$C$2:$C$495,MATCH(E26,'Dashboard Items'!$A$2:$A$495,0)),"Level does not match ID")),"ID not found"))</f>
        <v/>
      </c>
      <c r="G26" s="354" t="n"/>
      <c r="H26" s="353">
        <f>IF(G26="","",IF(ISNUMBER(SEARCH(",",G26)),"Several items (the script lists them)",IFERROR(INDEX('Dashboard Items'!$B$2:$B$495,MATCH(G26,'Dashboard Items'!$A$2:$A$495,0))&amp;": "&amp;INDEX('Dashboard Items'!$C$2:$C$495,MATCH(G26,'Dashboard Items'!$A$2:$A$495,0)),"ID not found")))</f>
        <v/>
      </c>
      <c r="I26" s="351" t="n"/>
      <c r="J26" s="351" t="n"/>
      <c r="K26" s="351" t="inlineStr">
        <is>
          <t>No</t>
        </is>
      </c>
      <c r="L26" s="351" t="n"/>
      <c r="M26" s="351" t="n"/>
      <c r="N26" s="351" t="n"/>
      <c r="O26" s="351" t="n"/>
      <c r="P26" s="351" t="n"/>
      <c r="Q26" s="351" t="inlineStr">
        <is>
          <t>Safety / Risk Administrator</t>
        </is>
      </c>
      <c r="R26" s="351" t="n"/>
      <c r="S26" s="351" t="n"/>
      <c r="T26" s="351" t="n"/>
      <c r="U26" s="355">
        <f>IF(B26="","",IF(IF(D26&lt;&gt;"",D26,IFERROR(INDEX('Dashboard Items'!$B$2:$B$495,MATCH(E26,'Dashboard Items'!$A$2:$A$495,0)),""))="Key Service",IF(O26="No","Key Service: shown, not counted","Counts in Key Service gauge"),IF(IF(D26&lt;&gt;"",D26,IFERROR(INDEX('Dashboard Items'!$B$2:$B$495,MATCH(E26,'Dashboard Items'!$A$2:$A$495,0)),""))="Program",IF(ISNUMBER(SEARCH("ks",G26)),IF(O26="No","Program, also at Key Service: not counted","Counts in Key Service gauge + sets Program chip"),IF(O26="No","Program: shown, no status chip","Sets Program status chip")),IF(IF(D26&lt;&gt;"",D26,IFERROR(INDEX('Dashboard Items'!$B$2:$B$495,MATCH(E26,'Dashboard Items'!$A$2:$A$495,0)),""))="Work System","Work System: shown, not counted","Check Level"))))</f>
        <v/>
      </c>
    </row>
    <row r="27" ht="15.75" customFormat="1" customHeight="1" s="365">
      <c r="A27" s="351">
        <f>LEFT(B27, FIND("-", B27) - 1)</f>
        <v/>
      </c>
      <c r="B27" s="364" t="inlineStr">
        <is>
          <t>HR-LOSSRUNREPORT</t>
        </is>
      </c>
      <c r="C27" s="361" t="inlineStr">
        <is>
          <t>Work Comp (loss run report?)</t>
        </is>
      </c>
      <c r="D27" s="351" t="inlineStr">
        <is>
          <t>Program</t>
        </is>
      </c>
      <c r="E27" s="351" t="inlineStr">
        <is>
          <t>p27</t>
        </is>
      </c>
      <c r="F27" s="353">
        <f>IF(E27="","",IFERROR(IF(INDEX('Dashboard Items'!$B$2:$B$495,MATCH(E27,'Dashboard Items'!$A$2:$A$495,0))="Objective","Objectives go in the next column",IF(OR(D27="",INDEX('Dashboard Items'!$B$2:$B$495,MATCH(E27,'Dashboard Items'!$A$2:$A$495,0))=D27),INDEX('Dashboard Items'!$C$2:$C$495,MATCH(E27,'Dashboard Items'!$A$2:$A$495,0)),"Level does not match ID")),"ID not found"))</f>
        <v/>
      </c>
      <c r="G27" s="354" t="n"/>
      <c r="H27" s="353">
        <f>IF(G27="","",IF(ISNUMBER(SEARCH(",",G27)),"Several items (the script lists them)",IFERROR(INDEX('Dashboard Items'!$B$2:$B$495,MATCH(G27,'Dashboard Items'!$A$2:$A$495,0))&amp;": "&amp;INDEX('Dashboard Items'!$C$2:$C$495,MATCH(G27,'Dashboard Items'!$A$2:$A$495,0)),"ID not found")))</f>
        <v/>
      </c>
      <c r="I27" s="351" t="n"/>
      <c r="J27" s="351" t="n"/>
      <c r="K27" s="351" t="n"/>
      <c r="L27" s="351" t="n"/>
      <c r="M27" s="351" t="n"/>
      <c r="N27" s="351" t="n"/>
      <c r="O27" s="351" t="n"/>
      <c r="P27" s="351" t="n"/>
      <c r="Q27" s="351" t="n"/>
      <c r="R27" s="351" t="n"/>
      <c r="S27" s="351" t="n"/>
      <c r="T27" s="351" t="n"/>
      <c r="U27" s="355">
        <f>IF(B27="","",IF(IF(D27&lt;&gt;"",D27,IFERROR(INDEX('Dashboard Items'!$B$2:$B$495,MATCH(E27,'Dashboard Items'!$A$2:$A$495,0)),""))="Key Service",IF(O27="No","Key Service: shown, not counted","Counts in Key Service gauge"),IF(IF(D27&lt;&gt;"",D27,IFERROR(INDEX('Dashboard Items'!$B$2:$B$495,MATCH(E27,'Dashboard Items'!$A$2:$A$495,0)),""))="Program",IF(ISNUMBER(SEARCH("ks",G27)),IF(O27="No","Program, also at Key Service: not counted","Counts in Key Service gauge + sets Program chip"),IF(O27="No","Program: shown, no status chip","Sets Program status chip")),IF(IF(D27&lt;&gt;"",D27,IFERROR(INDEX('Dashboard Items'!$B$2:$B$495,MATCH(E27,'Dashboard Items'!$A$2:$A$495,0)),""))="Work System","Work System: shown, not counted","Check Level"))))</f>
        <v/>
      </c>
    </row>
    <row r="28" ht="15.75" customFormat="1" customHeight="1" s="365">
      <c r="A28" s="351">
        <f>LEFT(B28, FIND("-", B28) - 1)</f>
        <v/>
      </c>
      <c r="B28" s="351" t="inlineStr">
        <is>
          <t>HR-OFFICERACC</t>
        </is>
      </c>
      <c r="C28" s="361" t="inlineStr">
        <is>
          <t>Hiring: offer acceptance rate</t>
        </is>
      </c>
      <c r="D28" s="351" t="inlineStr">
        <is>
          <t>Program</t>
        </is>
      </c>
      <c r="E28" s="351" t="inlineStr">
        <is>
          <t>p24</t>
        </is>
      </c>
      <c r="F28" s="353">
        <f>IF(E28="","",IFERROR(IF(INDEX('Dashboard Items'!$B$2:$B$495,MATCH(E28,'Dashboard Items'!$A$2:$A$495,0))="Objective","Objectives go in the next column",IF(OR(D28="",INDEX('Dashboard Items'!$B$2:$B$495,MATCH(E28,'Dashboard Items'!$A$2:$A$495,0))=D28),INDEX('Dashboard Items'!$C$2:$C$495,MATCH(E28,'Dashboard Items'!$A$2:$A$495,0)),"Level does not match ID")),"ID not found"))</f>
        <v/>
      </c>
      <c r="G28" s="354" t="n"/>
      <c r="H28" s="353">
        <f>IF(G28="","",IF(ISNUMBER(SEARCH(",",G28)),"Several items (the script lists them)",IFERROR(INDEX('Dashboard Items'!$B$2:$B$495,MATCH(G28,'Dashboard Items'!$A$2:$A$495,0))&amp;": "&amp;INDEX('Dashboard Items'!$C$2:$C$495,MATCH(G28,'Dashboard Items'!$A$2:$A$495,0)),"ID not found")))</f>
        <v/>
      </c>
      <c r="I28" s="351" t="n"/>
      <c r="J28" s="351" t="n"/>
      <c r="K28" s="351" t="inlineStr">
        <is>
          <t>No</t>
        </is>
      </c>
      <c r="L28" s="351" t="n"/>
      <c r="M28" s="351" t="n"/>
      <c r="N28" s="351" t="n"/>
      <c r="O28" s="351" t="n"/>
      <c r="P28" s="351" t="n"/>
      <c r="Q28" s="351" t="inlineStr">
        <is>
          <t>Safety / Risk Administrator</t>
        </is>
      </c>
      <c r="R28" s="351" t="n"/>
      <c r="S28" s="351" t="n"/>
      <c r="T28" s="351" t="n"/>
      <c r="U28" s="355">
        <f>IF(B28="","",IF(IF(D28&lt;&gt;"",D28,IFERROR(INDEX('Dashboard Items'!$B$2:$B$495,MATCH(E28,'Dashboard Items'!$A$2:$A$495,0)),""))="Key Service",IF(O28="No","Key Service: shown, not counted","Counts in Key Service gauge"),IF(IF(D28&lt;&gt;"",D28,IFERROR(INDEX('Dashboard Items'!$B$2:$B$495,MATCH(E28,'Dashboard Items'!$A$2:$A$495,0)),""))="Program",IF(ISNUMBER(SEARCH("ks",G28)),IF(O28="No","Program, also at Key Service: not counted","Counts in Key Service gauge + sets Program chip"),IF(O28="No","Program: shown, no status chip","Sets Program status chip")),IF(IF(D28&lt;&gt;"",D28,IFERROR(INDEX('Dashboard Items'!$B$2:$B$495,MATCH(E28,'Dashboard Items'!$A$2:$A$495,0)),""))="Work System","Work System: shown, not counted","Check Level"))))</f>
        <v/>
      </c>
    </row>
    <row r="29" ht="15.75" customFormat="1" customHeight="1" s="365">
      <c r="A29" s="351">
        <f>LEFT(B29, FIND("-", B29) - 1)</f>
        <v/>
      </c>
      <c r="B29" s="351" t="inlineStr">
        <is>
          <t>HR-PROFDEV</t>
        </is>
      </c>
      <c r="C29" s="361" t="inlineStr">
        <is>
          <t>Utilization of professional development budget</t>
        </is>
      </c>
      <c r="D29" s="351" t="inlineStr">
        <is>
          <t>Program</t>
        </is>
      </c>
      <c r="E29" s="351" t="inlineStr">
        <is>
          <t>p22</t>
        </is>
      </c>
      <c r="F29" s="353">
        <f>IF(E29="","",IFERROR(IF(INDEX('Dashboard Items'!$B$2:$B$495,MATCH(E29,'Dashboard Items'!$A$2:$A$495,0))="Objective","Objectives go in the next column",IF(OR(D29="",INDEX('Dashboard Items'!$B$2:$B$495,MATCH(E29,'Dashboard Items'!$A$2:$A$495,0))=D29),INDEX('Dashboard Items'!$C$2:$C$495,MATCH(E29,'Dashboard Items'!$A$2:$A$495,0)),"Level does not match ID")),"ID not found"))</f>
        <v/>
      </c>
      <c r="G29" s="354" t="n"/>
      <c r="H29" s="353">
        <f>IF(G29="","",IF(ISNUMBER(SEARCH(",",G29)),"Several items (the script lists them)",IFERROR(INDEX('Dashboard Items'!$B$2:$B$495,MATCH(G29,'Dashboard Items'!$A$2:$A$495,0))&amp;": "&amp;INDEX('Dashboard Items'!$C$2:$C$495,MATCH(G29,'Dashboard Items'!$A$2:$A$495,0)),"ID not found")))</f>
        <v/>
      </c>
      <c r="I29" s="351" t="n"/>
      <c r="J29" s="351" t="n"/>
      <c r="K29" s="351" t="n"/>
      <c r="L29" s="351" t="n"/>
      <c r="M29" s="351" t="n"/>
      <c r="N29" s="351" t="n"/>
      <c r="O29" s="351" t="n"/>
      <c r="P29" s="351" t="n"/>
      <c r="Q29" s="351" t="n"/>
      <c r="R29" s="351" t="n"/>
      <c r="S29" s="351" t="n"/>
      <c r="T29" s="351" t="n"/>
      <c r="U29" s="355">
        <f>IF(B29="","",IF(IF(D29&lt;&gt;"",D29,IFERROR(INDEX('Dashboard Items'!$B$2:$B$495,MATCH(E29,'Dashboard Items'!$A$2:$A$495,0)),""))="Key Service",IF(O29="No","Key Service: shown, not counted","Counts in Key Service gauge"),IF(IF(D29&lt;&gt;"",D29,IFERROR(INDEX('Dashboard Items'!$B$2:$B$495,MATCH(E29,'Dashboard Items'!$A$2:$A$495,0)),""))="Program",IF(ISNUMBER(SEARCH("ks",G29)),IF(O29="No","Program, also at Key Service: not counted","Counts in Key Service gauge + sets Program chip"),IF(O29="No","Program: shown, no status chip","Sets Program status chip")),IF(IF(D29&lt;&gt;"",D29,IFERROR(INDEX('Dashboard Items'!$B$2:$B$495,MATCH(E29,'Dashboard Items'!$A$2:$A$495,0)),""))="Work System","Work System: shown, not counted","Check Level"))))</f>
        <v/>
      </c>
    </row>
    <row r="30" ht="15.75" customFormat="1" customHeight="1" s="365">
      <c r="A30" s="351">
        <f>LEFT(B30, FIND("-", B30) - 1)</f>
        <v/>
      </c>
      <c r="B30" s="364" t="inlineStr">
        <is>
          <t>HR-PROPCASCLAIM</t>
        </is>
      </c>
      <c r="C30" s="361" t="inlineStr">
        <is>
          <t>Property casualty claims (by department, dollar amount)</t>
        </is>
      </c>
      <c r="D30" s="351" t="inlineStr">
        <is>
          <t>Program</t>
        </is>
      </c>
      <c r="E30" s="351" t="inlineStr">
        <is>
          <t>p27</t>
        </is>
      </c>
      <c r="F30" s="353">
        <f>IF(E30="","",IFERROR(IF(INDEX('Dashboard Items'!$B$2:$B$495,MATCH(E30,'Dashboard Items'!$A$2:$A$495,0))="Objective","Objectives go in the next column",IF(OR(D30="",INDEX('Dashboard Items'!$B$2:$B$495,MATCH(E30,'Dashboard Items'!$A$2:$A$495,0))=D30),INDEX('Dashboard Items'!$C$2:$C$495,MATCH(E30,'Dashboard Items'!$A$2:$A$495,0)),"Level does not match ID")),"ID not found"))</f>
        <v/>
      </c>
      <c r="G30" s="354" t="n"/>
      <c r="H30" s="353">
        <f>IF(G30="","",IF(ISNUMBER(SEARCH(",",G30)),"Several items (the script lists them)",IFERROR(INDEX('Dashboard Items'!$B$2:$B$495,MATCH(G30,'Dashboard Items'!$A$2:$A$495,0))&amp;": "&amp;INDEX('Dashboard Items'!$C$2:$C$495,MATCH(G30,'Dashboard Items'!$A$2:$A$495,0)),"ID not found")))</f>
        <v/>
      </c>
      <c r="I30" s="351" t="n"/>
      <c r="J30" s="351" t="n"/>
      <c r="K30" s="351" t="n"/>
      <c r="L30" s="351" t="n"/>
      <c r="M30" s="351" t="n"/>
      <c r="N30" s="351" t="n"/>
      <c r="O30" s="351" t="n"/>
      <c r="P30" s="351" t="n"/>
      <c r="Q30" s="351" t="n"/>
      <c r="R30" s="351" t="n"/>
      <c r="S30" s="351" t="n"/>
      <c r="T30" s="351" t="n"/>
      <c r="U30" s="355">
        <f>IF(B30="","",IF(IF(D30&lt;&gt;"",D30,IFERROR(INDEX('Dashboard Items'!$B$2:$B$495,MATCH(E30,'Dashboard Items'!$A$2:$A$495,0)),""))="Key Service",IF(O30="No","Key Service: shown, not counted","Counts in Key Service gauge"),IF(IF(D30&lt;&gt;"",D30,IFERROR(INDEX('Dashboard Items'!$B$2:$B$495,MATCH(E30,'Dashboard Items'!$A$2:$A$495,0)),""))="Program",IF(ISNUMBER(SEARCH("ks",G30)),IF(O30="No","Program, also at Key Service: not counted","Counts in Key Service gauge + sets Program chip"),IF(O30="No","Program: shown, no status chip","Sets Program status chip")),IF(IF(D30&lt;&gt;"",D30,IFERROR(INDEX('Dashboard Items'!$B$2:$B$495,MATCH(E30,'Dashboard Items'!$A$2:$A$495,0)),""))="Work System","Work System: shown, not counted","Check Level"))))</f>
        <v/>
      </c>
    </row>
    <row r="31" ht="15.75" customFormat="1" customHeight="1" s="365">
      <c r="A31" s="351">
        <f>LEFT(B31, FIND("-", B31) - 1)</f>
        <v/>
      </c>
      <c r="B31" s="351" t="inlineStr">
        <is>
          <t>HR-RETENTION</t>
        </is>
      </c>
      <c r="C31" s="361" t="inlineStr">
        <is>
          <t>Retain &amp; develop: 1st year retention</t>
        </is>
      </c>
      <c r="D31" s="351" t="inlineStr">
        <is>
          <t>Program</t>
        </is>
      </c>
      <c r="E31" s="351" t="inlineStr">
        <is>
          <t>p24</t>
        </is>
      </c>
      <c r="F31" s="353">
        <f>IF(E31="","",IFERROR(IF(INDEX('Dashboard Items'!$B$2:$B$495,MATCH(E31,'Dashboard Items'!$A$2:$A$495,0))="Objective","Objectives go in the next column",IF(OR(D31="",INDEX('Dashboard Items'!$B$2:$B$495,MATCH(E31,'Dashboard Items'!$A$2:$A$495,0))=D31),INDEX('Dashboard Items'!$C$2:$C$495,MATCH(E31,'Dashboard Items'!$A$2:$A$495,0)),"Level does not match ID")),"ID not found"))</f>
        <v/>
      </c>
      <c r="G31" s="354" t="n"/>
      <c r="H31" s="353">
        <f>IF(G31="","",IF(ISNUMBER(SEARCH(",",G31)),"Several items (the script lists them)",IFERROR(INDEX('Dashboard Items'!$B$2:$B$495,MATCH(G31,'Dashboard Items'!$A$2:$A$495,0))&amp;": "&amp;INDEX('Dashboard Items'!$C$2:$C$495,MATCH(G31,'Dashboard Items'!$A$2:$A$495,0)),"ID not found")))</f>
        <v/>
      </c>
      <c r="I31" s="351" t="n"/>
      <c r="J31" s="351" t="n"/>
      <c r="K31" s="351" t="n"/>
      <c r="L31" s="351" t="n"/>
      <c r="M31" s="351" t="n"/>
      <c r="N31" s="351" t="n"/>
      <c r="O31" s="351" t="n"/>
      <c r="P31" s="351" t="n"/>
      <c r="Q31" s="351" t="n"/>
      <c r="R31" s="351" t="n"/>
      <c r="S31" s="351" t="n"/>
      <c r="T31" s="351" t="n"/>
      <c r="U31" s="355">
        <f>IF(B31="","",IF(IF(D31&lt;&gt;"",D31,IFERROR(INDEX('Dashboard Items'!$B$2:$B$495,MATCH(E31,'Dashboard Items'!$A$2:$A$495,0)),""))="Key Service",IF(O31="No","Key Service: shown, not counted","Counts in Key Service gauge"),IF(IF(D31&lt;&gt;"",D31,IFERROR(INDEX('Dashboard Items'!$B$2:$B$495,MATCH(E31,'Dashboard Items'!$A$2:$A$495,0)),""))="Program",IF(ISNUMBER(SEARCH("ks",G31)),IF(O31="No","Program, also at Key Service: not counted","Counts in Key Service gauge + sets Program chip"),IF(O31="No","Program: shown, no status chip","Sets Program status chip")),IF(IF(D31&lt;&gt;"",D31,IFERROR(INDEX('Dashboard Items'!$B$2:$B$495,MATCH(E31,'Dashboard Items'!$A$2:$A$495,0)),""))="Work System","Work System: shown, not counted","Check Level"))))</f>
        <v/>
      </c>
    </row>
    <row r="32" ht="15.75" customFormat="1" customHeight="1" s="365">
      <c r="A32" s="351">
        <f>LEFT(B32, FIND("-", B32) - 1)</f>
        <v/>
      </c>
      <c r="B32" s="351" t="inlineStr">
        <is>
          <t>HR-SAFETYTRAINING</t>
        </is>
      </c>
      <c r="C32" s="361" t="inlineStr">
        <is>
          <t>Safety Training</t>
        </is>
      </c>
      <c r="D32" s="351" t="inlineStr">
        <is>
          <t>Program</t>
        </is>
      </c>
      <c r="E32" s="351" t="inlineStr">
        <is>
          <t>p27</t>
        </is>
      </c>
      <c r="F32" s="353">
        <f>IF(E32="","",IFERROR(IF(INDEX('Dashboard Items'!$B$2:$B$495,MATCH(E32,'Dashboard Items'!$A$2:$A$495,0))="Objective","Objectives go in the next column",IF(OR(D32="",INDEX('Dashboard Items'!$B$2:$B$495,MATCH(E32,'Dashboard Items'!$A$2:$A$495,0))=D32),INDEX('Dashboard Items'!$C$2:$C$495,MATCH(E32,'Dashboard Items'!$A$2:$A$495,0)),"Level does not match ID")),"ID not found"))</f>
        <v/>
      </c>
      <c r="G32" s="354" t="n"/>
      <c r="H32" s="353">
        <f>IF(G32="","",IF(ISNUMBER(SEARCH(",",G32)),"Several items (the script lists them)",IFERROR(INDEX('Dashboard Items'!$B$2:$B$495,MATCH(G32,'Dashboard Items'!$A$2:$A$495,0))&amp;": "&amp;INDEX('Dashboard Items'!$C$2:$C$495,MATCH(G32,'Dashboard Items'!$A$2:$A$495,0)),"ID not found")))</f>
        <v/>
      </c>
      <c r="I32" s="351" t="n"/>
      <c r="J32" s="351" t="n"/>
      <c r="K32" s="351" t="n"/>
      <c r="L32" s="351" t="n"/>
      <c r="M32" s="351" t="n"/>
      <c r="N32" s="351" t="n"/>
      <c r="O32" s="351" t="n"/>
      <c r="P32" s="351" t="n"/>
      <c r="Q32" s="351" t="n"/>
      <c r="R32" s="351" t="n"/>
      <c r="S32" s="351" t="n"/>
      <c r="T32" s="351" t="n"/>
      <c r="U32" s="355">
        <f>IF(B32="","",IF(IF(D32&lt;&gt;"",D32,IFERROR(INDEX('Dashboard Items'!$B$2:$B$495,MATCH(E32,'Dashboard Items'!$A$2:$A$495,0)),""))="Key Service",IF(O32="No","Key Service: shown, not counted","Counts in Key Service gauge"),IF(IF(D32&lt;&gt;"",D32,IFERROR(INDEX('Dashboard Items'!$B$2:$B$495,MATCH(E32,'Dashboard Items'!$A$2:$A$495,0)),""))="Program",IF(ISNUMBER(SEARCH("ks",G32)),IF(O32="No","Program, also at Key Service: not counted","Counts in Key Service gauge + sets Program chip"),IF(O32="No","Program: shown, no status chip","Sets Program status chip")),IF(IF(D32&lt;&gt;"",D32,IFERROR(INDEX('Dashboard Items'!$B$2:$B$495,MATCH(E32,'Dashboard Items'!$A$2:$A$495,0)),""))="Work System","Work System: shown, not counted","Check Level"))))</f>
        <v/>
      </c>
    </row>
    <row r="33" ht="15.75" customFormat="1" customHeight="1" s="365">
      <c r="A33" s="351">
        <f>LEFT(B33, FIND("-", B33) - 1)</f>
        <v/>
      </c>
      <c r="B33" s="351" t="inlineStr">
        <is>
          <t>HR-TIMETOHIRE</t>
        </is>
      </c>
      <c r="C33" s="361" t="inlineStr">
        <is>
          <t>Hiring: time to hire from NeoGov</t>
        </is>
      </c>
      <c r="D33" s="351" t="inlineStr">
        <is>
          <t>Key Service</t>
        </is>
      </c>
      <c r="E33" s="351" t="inlineStr">
        <is>
          <t>ks5</t>
        </is>
      </c>
      <c r="F33" s="353">
        <f>IF(E33="","",IFERROR(IF(INDEX('Dashboard Items'!$B$2:$B$495,MATCH(E33,'Dashboard Items'!$A$2:$A$495,0))="Objective","Objectives go in the next column",IF(OR(D33="",INDEX('Dashboard Items'!$B$2:$B$495,MATCH(E33,'Dashboard Items'!$A$2:$A$495,0))=D33),INDEX('Dashboard Items'!$C$2:$C$495,MATCH(E33,'Dashboard Items'!$A$2:$A$495,0)),"Level does not match ID")),"ID not found"))</f>
        <v/>
      </c>
      <c r="G33" s="354" t="inlineStr">
        <is>
          <t>p24</t>
        </is>
      </c>
      <c r="H33" s="353">
        <f>IF(G33="","",IF(ISNUMBER(SEARCH(",",G33)),"Several items (the script lists them)",IFERROR(INDEX('Dashboard Items'!$B$2:$B$495,MATCH(G33,'Dashboard Items'!$A$2:$A$495,0))&amp;": "&amp;INDEX('Dashboard Items'!$C$2:$C$495,MATCH(G33,'Dashboard Items'!$A$2:$A$495,0)),"ID not found")))</f>
        <v/>
      </c>
      <c r="I33" s="351" t="n"/>
      <c r="J33" s="351" t="n"/>
      <c r="K33" s="351" t="n"/>
      <c r="L33" s="351" t="n"/>
      <c r="M33" s="351" t="n"/>
      <c r="N33" s="351" t="n"/>
      <c r="O33" s="351" t="n"/>
      <c r="P33" s="351" t="n"/>
      <c r="Q33" s="351" t="inlineStr">
        <is>
          <t>Safety / Risk Administrator</t>
        </is>
      </c>
      <c r="R33" s="351" t="n"/>
      <c r="S33" s="351" t="n"/>
      <c r="T33" s="351" t="n"/>
      <c r="U33" s="355">
        <f>IF(B33="","",IF(IF(D33&lt;&gt;"",D33,IFERROR(INDEX('Dashboard Items'!$B$2:$B$495,MATCH(E33,'Dashboard Items'!$A$2:$A$495,0)),""))="Key Service",IF(O33="No","Key Service: shown, not counted","Counts in Key Service gauge"),IF(IF(D33&lt;&gt;"",D33,IFERROR(INDEX('Dashboard Items'!$B$2:$B$495,MATCH(E33,'Dashboard Items'!$A$2:$A$495,0)),""))="Program",IF(ISNUMBER(SEARCH("ks",G33)),IF(O33="No","Program, also at Key Service: not counted","Counts in Key Service gauge + sets Program chip"),IF(O33="No","Program: shown, no status chip","Sets Program status chip")),IF(IF(D33&lt;&gt;"",D33,IFERROR(INDEX('Dashboard Items'!$B$2:$B$495,MATCH(E33,'Dashboard Items'!$A$2:$A$495,0)),""))="Work System","Work System: shown, not counted","Check Level"))))</f>
        <v/>
      </c>
    </row>
    <row r="34" ht="15.75" customFormat="1" customHeight="1" s="365">
      <c r="A34" s="351">
        <f>LEFT(B34, FIND("-", B34) - 1)</f>
        <v/>
      </c>
      <c r="B34" s="351" t="inlineStr">
        <is>
          <t>HR-TRAFFICSOURCE</t>
        </is>
      </c>
      <c r="C34" s="361" t="inlineStr">
        <is>
          <t>Attracting: traffic source data</t>
        </is>
      </c>
      <c r="D34" s="351" t="inlineStr">
        <is>
          <t>Program</t>
        </is>
      </c>
      <c r="E34" s="351" t="inlineStr">
        <is>
          <t>p24</t>
        </is>
      </c>
      <c r="F34" s="353">
        <f>IF(E34="","",IFERROR(IF(INDEX('Dashboard Items'!$B$2:$B$495,MATCH(E34,'Dashboard Items'!$A$2:$A$495,0))="Objective","Objectives go in the next column",IF(OR(D34="",INDEX('Dashboard Items'!$B$2:$B$495,MATCH(E34,'Dashboard Items'!$A$2:$A$495,0))=D34),INDEX('Dashboard Items'!$C$2:$C$495,MATCH(E34,'Dashboard Items'!$A$2:$A$495,0)),"Level does not match ID")),"ID not found"))</f>
        <v/>
      </c>
      <c r="G34" s="354" t="n"/>
      <c r="H34" s="353">
        <f>IF(G34="","",IF(ISNUMBER(SEARCH(",",G34)),"Several items (the script lists them)",IFERROR(INDEX('Dashboard Items'!$B$2:$B$495,MATCH(G34,'Dashboard Items'!$A$2:$A$495,0))&amp;": "&amp;INDEX('Dashboard Items'!$C$2:$C$495,MATCH(G34,'Dashboard Items'!$A$2:$A$495,0)),"ID not found")))</f>
        <v/>
      </c>
      <c r="I34" s="351" t="n"/>
      <c r="J34" s="351" t="n"/>
      <c r="K34" s="351" t="n"/>
      <c r="L34" s="351" t="n"/>
      <c r="M34" s="351" t="n"/>
      <c r="N34" s="351" t="n"/>
      <c r="O34" s="351" t="n"/>
      <c r="P34" s="351" t="n"/>
      <c r="Q34" s="351" t="inlineStr">
        <is>
          <t>Safety / Risk Administrator</t>
        </is>
      </c>
      <c r="R34" s="351" t="n"/>
      <c r="S34" s="351" t="n"/>
      <c r="T34" s="351" t="n"/>
      <c r="U34" s="355">
        <f>IF(B34="","",IF(IF(D34&lt;&gt;"",D34,IFERROR(INDEX('Dashboard Items'!$B$2:$B$495,MATCH(E34,'Dashboard Items'!$A$2:$A$495,0)),""))="Key Service",IF(O34="No","Key Service: shown, not counted","Counts in Key Service gauge"),IF(IF(D34&lt;&gt;"",D34,IFERROR(INDEX('Dashboard Items'!$B$2:$B$495,MATCH(E34,'Dashboard Items'!$A$2:$A$495,0)),""))="Program",IF(ISNUMBER(SEARCH("ks",G34)),IF(O34="No","Program, also at Key Service: not counted","Counts in Key Service gauge + sets Program chip"),IF(O34="No","Program: shown, no status chip","Sets Program status chip")),IF(IF(D34&lt;&gt;"",D34,IFERROR(INDEX('Dashboard Items'!$B$2:$B$495,MATCH(E34,'Dashboard Items'!$A$2:$A$495,0)),""))="Work System","Work System: shown, not counted","Check Level"))))</f>
        <v/>
      </c>
    </row>
    <row r="35" ht="15.75" customFormat="1" customHeight="1" s="366">
      <c r="A35" s="351">
        <f>LEFT(B35, FIND("-", B35) - 1)</f>
        <v/>
      </c>
      <c r="B35" s="351" t="inlineStr">
        <is>
          <t>HR-TUITIONREIMB</t>
        </is>
      </c>
      <c r="C35" s="361" t="inlineStr">
        <is>
          <t>Utilization of tuition reimbursement program</t>
        </is>
      </c>
      <c r="D35" s="351" t="inlineStr">
        <is>
          <t>Program</t>
        </is>
      </c>
      <c r="E35" s="351" t="inlineStr">
        <is>
          <t>p22</t>
        </is>
      </c>
      <c r="F35" s="353">
        <f>IF(E35="","",IFERROR(IF(INDEX('Dashboard Items'!$B$2:$B$495,MATCH(E35,'Dashboard Items'!$A$2:$A$495,0))="Objective","Objectives go in the next column",IF(OR(D35="",INDEX('Dashboard Items'!$B$2:$B$495,MATCH(E35,'Dashboard Items'!$A$2:$A$495,0))=D35),INDEX('Dashboard Items'!$C$2:$C$495,MATCH(E35,'Dashboard Items'!$A$2:$A$495,0)),"Level does not match ID")),"ID not found"))</f>
        <v/>
      </c>
      <c r="G35" s="354" t="n"/>
      <c r="H35" s="353">
        <f>IF(G35="","",IF(ISNUMBER(SEARCH(",",G35)),"Several items (the script lists them)",IFERROR(INDEX('Dashboard Items'!$B$2:$B$495,MATCH(G35,'Dashboard Items'!$A$2:$A$495,0))&amp;": "&amp;INDEX('Dashboard Items'!$C$2:$C$495,MATCH(G35,'Dashboard Items'!$A$2:$A$495,0)),"ID not found")))</f>
        <v/>
      </c>
      <c r="I35" s="351" t="n"/>
      <c r="J35" s="351" t="n"/>
      <c r="K35" s="351" t="n"/>
      <c r="L35" s="351" t="n"/>
      <c r="M35" s="351" t="n"/>
      <c r="N35" s="351" t="n"/>
      <c r="O35" s="351" t="n"/>
      <c r="P35" s="351" t="n"/>
      <c r="Q35" s="351" t="n"/>
      <c r="R35" s="351" t="n"/>
      <c r="S35" s="351" t="n"/>
      <c r="T35" s="351" t="n"/>
      <c r="U35" s="355">
        <f>IF(B35="","",IF(IF(D35&lt;&gt;"",D35,IFERROR(INDEX('Dashboard Items'!$B$2:$B$495,MATCH(E35,'Dashboard Items'!$A$2:$A$495,0)),""))="Key Service",IF(O35="No","Key Service: shown, not counted","Counts in Key Service gauge"),IF(IF(D35&lt;&gt;"",D35,IFERROR(INDEX('Dashboard Items'!$B$2:$B$495,MATCH(E35,'Dashboard Items'!$A$2:$A$495,0)),""))="Program",IF(ISNUMBER(SEARCH("ks",G35)),IF(O35="No","Program, also at Key Service: not counted","Counts in Key Service gauge + sets Program chip"),IF(O35="No","Program: shown, no status chip","Sets Program status chip")),IF(IF(D35&lt;&gt;"",D35,IFERROR(INDEX('Dashboard Items'!$B$2:$B$495,MATCH(E35,'Dashboard Items'!$A$2:$A$495,0)),""))="Work System","Work System: shown, not counted","Check Level"))))</f>
        <v/>
      </c>
    </row>
    <row r="36" ht="15.75" customFormat="1" customHeight="1" s="366">
      <c r="A36" s="351">
        <f>LEFT(B36, FIND("-", B36) - 1)</f>
        <v/>
      </c>
      <c r="B36" s="351" t="inlineStr">
        <is>
          <t>HR-TURNRATE</t>
        </is>
      </c>
      <c r="C36" s="361" t="inlineStr">
        <is>
          <t>Retain &amp; develop: turnover rate by voluntary and involuntary</t>
        </is>
      </c>
      <c r="D36" s="351" t="inlineStr">
        <is>
          <t>Key Service</t>
        </is>
      </c>
      <c r="E36" s="351" t="inlineStr">
        <is>
          <t>ks5</t>
        </is>
      </c>
      <c r="F36" s="353">
        <f>IF(E36="","",IFERROR(IF(INDEX('Dashboard Items'!$B$2:$B$495,MATCH(E36,'Dashboard Items'!$A$2:$A$495,0))="Objective","Objectives go in the next column",IF(OR(D36="",INDEX('Dashboard Items'!$B$2:$B$495,MATCH(E36,'Dashboard Items'!$A$2:$A$495,0))=D36),INDEX('Dashboard Items'!$C$2:$C$495,MATCH(E36,'Dashboard Items'!$A$2:$A$495,0)),"Level does not match ID")),"ID not found"))</f>
        <v/>
      </c>
      <c r="G36" s="354" t="inlineStr">
        <is>
          <t>p24</t>
        </is>
      </c>
      <c r="H36" s="353">
        <f>IF(G36="","",IF(ISNUMBER(SEARCH(",",G36)),"Several items (the script lists them)",IFERROR(INDEX('Dashboard Items'!$B$2:$B$495,MATCH(G36,'Dashboard Items'!$A$2:$A$495,0))&amp;": "&amp;INDEX('Dashboard Items'!$C$2:$C$495,MATCH(G36,'Dashboard Items'!$A$2:$A$495,0)),"ID not found")))</f>
        <v/>
      </c>
      <c r="I36" s="351" t="inlineStr">
        <is>
          <t>percent</t>
        </is>
      </c>
      <c r="J36" s="351" t="n">
        <v>2</v>
      </c>
      <c r="K36" s="351" t="inlineStr">
        <is>
          <t>No</t>
        </is>
      </c>
      <c r="L36" s="351" t="inlineStr">
        <is>
          <t>Target</t>
        </is>
      </c>
      <c r="M36" s="351" t="n"/>
      <c r="N36" s="351" t="n"/>
      <c r="O36" s="351" t="n"/>
      <c r="P36" s="351" t="inlineStr">
        <is>
          <t>Every year</t>
        </is>
      </c>
      <c r="Q36" s="351" t="n"/>
      <c r="R36" s="351" t="n"/>
      <c r="S36" s="351" t="inlineStr">
        <is>
          <t>Cumulative turnover rate for City employees each fiscal year. Lower is better.</t>
        </is>
      </c>
      <c r="T36" s="351" t="inlineStr">
        <is>
          <t>Target: 20%. Benchmark: the Colorado average (18% in 2021, 20% in 2022, 18% in 2023); from 2024, SHRM's 20% average for government, as the Colorado figure is not available. Shown as one total; a voluntary/involuntary split is not available yet.</t>
        </is>
      </c>
      <c r="U36" s="355">
        <f>IF(B36="","",IF(IF(D36&lt;&gt;"",D36,IFERROR(INDEX('Dashboard Items'!$B$2:$B$495,MATCH(E36,'Dashboard Items'!$A$2:$A$495,0)),""))="Key Service",IF(O36="No","Key Service: shown, not counted","Counts in Key Service gauge"),IF(IF(D36&lt;&gt;"",D36,IFERROR(INDEX('Dashboard Items'!$B$2:$B$495,MATCH(E36,'Dashboard Items'!$A$2:$A$495,0)),""))="Program",IF(ISNUMBER(SEARCH("ks",G36)),IF(O36="No","Program, also at Key Service: not counted","Counts in Key Service gauge + sets Program chip"),IF(O36="No","Program: shown, no status chip","Sets Program status chip")),IF(IF(D36&lt;&gt;"",D36,IFERROR(INDEX('Dashboard Items'!$B$2:$B$495,MATCH(E36,'Dashboard Items'!$A$2:$A$495,0)),""))="Work System","Work System: shown, not counted","Check Level"))))</f>
        <v/>
      </c>
    </row>
    <row r="37" ht="15.75" customFormat="1" customHeight="1" s="366">
      <c r="A37" s="351">
        <f>LEFT(B37, FIND("-", B37) - 1)</f>
        <v/>
      </c>
      <c r="B37" s="351" t="inlineStr">
        <is>
          <t>HR-VACRATE</t>
        </is>
      </c>
      <c r="C37" s="361" t="inlineStr">
        <is>
          <t>Retain &amp; develop: vacancy rate</t>
        </is>
      </c>
      <c r="D37" s="351" t="inlineStr">
        <is>
          <t>Program</t>
        </is>
      </c>
      <c r="E37" s="351" t="inlineStr">
        <is>
          <t>p24</t>
        </is>
      </c>
      <c r="F37" s="353">
        <f>IF(E37="","",IFERROR(IF(INDEX('Dashboard Items'!$B$2:$B$495,MATCH(E37,'Dashboard Items'!$A$2:$A$495,0))="Objective","Objectives go in the next column",IF(OR(D37="",INDEX('Dashboard Items'!$B$2:$B$495,MATCH(E37,'Dashboard Items'!$A$2:$A$495,0))=D37),INDEX('Dashboard Items'!$C$2:$C$495,MATCH(E37,'Dashboard Items'!$A$2:$A$495,0)),"Level does not match ID")),"ID not found"))</f>
        <v/>
      </c>
      <c r="G37" s="354" t="n"/>
      <c r="H37" s="353">
        <f>IF(G37="","",IF(ISNUMBER(SEARCH(",",G37)),"Several items (the script lists them)",IFERROR(INDEX('Dashboard Items'!$B$2:$B$495,MATCH(G37,'Dashboard Items'!$A$2:$A$495,0))&amp;": "&amp;INDEX('Dashboard Items'!$C$2:$C$495,MATCH(G37,'Dashboard Items'!$A$2:$A$495,0)),"ID not found")))</f>
        <v/>
      </c>
      <c r="I37" s="351" t="n"/>
      <c r="J37" s="351" t="n"/>
      <c r="K37" s="351" t="inlineStr">
        <is>
          <t>Yes</t>
        </is>
      </c>
      <c r="L37" s="351" t="n"/>
      <c r="M37" s="351" t="n"/>
      <c r="N37" s="351" t="n"/>
      <c r="O37" s="351" t="n"/>
      <c r="P37" s="351" t="n"/>
      <c r="Q37" s="351" t="inlineStr">
        <is>
          <t>Safety / Risk Administrator</t>
        </is>
      </c>
      <c r="R37" s="351" t="n"/>
      <c r="S37" s="351" t="n"/>
      <c r="T37" s="351" t="n"/>
      <c r="U37" s="355">
        <f>IF(B37="","",IF(IF(D37&lt;&gt;"",D37,IFERROR(INDEX('Dashboard Items'!$B$2:$B$495,MATCH(E37,'Dashboard Items'!$A$2:$A$495,0)),""))="Key Service",IF(O37="No","Key Service: shown, not counted","Counts in Key Service gauge"),IF(IF(D37&lt;&gt;"",D37,IFERROR(INDEX('Dashboard Items'!$B$2:$B$495,MATCH(E37,'Dashboard Items'!$A$2:$A$495,0)),""))="Program",IF(ISNUMBER(SEARCH("ks",G37)),IF(O37="No","Program, also at Key Service: not counted","Counts in Key Service gauge + sets Program chip"),IF(O37="No","Program: shown, no status chip","Sets Program status chip")),IF(IF(D37&lt;&gt;"",D37,IFERROR(INDEX('Dashboard Items'!$B$2:$B$495,MATCH(E37,'Dashboard Items'!$A$2:$A$495,0)),""))="Work System","Work System: shown, not counted","Check Level"))))</f>
        <v/>
      </c>
    </row>
    <row r="38" ht="15.75" customFormat="1" customHeight="1" s="366">
      <c r="A38" s="367">
        <f>LEFT(B38, FIND("-", B38) - 1)</f>
        <v/>
      </c>
      <c r="B38" s="367" t="inlineStr">
        <is>
          <t>IT-PHISHRATE</t>
        </is>
      </c>
      <c r="C38" s="367" t="inlineStr">
        <is>
          <t>Organization phish prone rate</t>
        </is>
      </c>
      <c r="D38" s="367" t="inlineStr">
        <is>
          <t>Program</t>
        </is>
      </c>
      <c r="E38" s="367" t="inlineStr">
        <is>
          <t>p31</t>
        </is>
      </c>
      <c r="F38" s="368">
        <f>IF(E38="","",IFERROR(IF(INDEX('Dashboard Items'!$B$2:$B$495,MATCH(E38,'Dashboard Items'!$A$2:$A$495,0))="Objective","Objectives go in the next column",IF(OR(D38="",INDEX('Dashboard Items'!$B$2:$B$495,MATCH(E38,'Dashboard Items'!$A$2:$A$495,0))=D38),INDEX('Dashboard Items'!$C$2:$C$495,MATCH(E38,'Dashboard Items'!$A$2:$A$495,0)),"Level does not match ID")),"ID not found"))</f>
        <v/>
      </c>
      <c r="G38" s="369" t="inlineStr">
        <is>
          <t>ks7</t>
        </is>
      </c>
      <c r="H38" s="368">
        <f>IF(G38="","",IF(ISNUMBER(SEARCH(",",G38)),"Several items (the script lists them)",IFERROR(INDEX('Dashboard Items'!$B$2:$B$495,MATCH(G38,'Dashboard Items'!$A$2:$A$495,0))&amp;": "&amp;INDEX('Dashboard Items'!$C$2:$C$495,MATCH(G38,'Dashboard Items'!$A$2:$A$495,0)),"ID not found")))</f>
        <v/>
      </c>
      <c r="I38" s="367" t="inlineStr">
        <is>
          <t>percent</t>
        </is>
      </c>
      <c r="J38" s="367" t="n">
        <v>2</v>
      </c>
      <c r="K38" s="367" t="inlineStr">
        <is>
          <t>No</t>
        </is>
      </c>
      <c r="L38" s="367" t="inlineStr">
        <is>
          <t>Target</t>
        </is>
      </c>
      <c r="M38" s="367" t="n">
        <v>5</v>
      </c>
      <c r="N38" s="367" t="n">
        <v>15</v>
      </c>
      <c r="O38" s="367" t="inlineStr">
        <is>
          <t>Yes</t>
        </is>
      </c>
      <c r="P38" s="367" t="inlineStr">
        <is>
          <t>Every Quarter</t>
        </is>
      </c>
      <c r="Q38" s="367" t="inlineStr">
        <is>
          <t>IT Director</t>
        </is>
      </c>
      <c r="R38" s="367" t="inlineStr">
        <is>
          <t>KnowBe4</t>
        </is>
      </c>
      <c r="S38" s="367" t="n"/>
      <c r="T38" s="367" t="n"/>
      <c r="U38" s="355">
        <f>IF(B38="","",IF(IF(D38&lt;&gt;"",D38,IFERROR(INDEX('Dashboard Items'!$B$2:$B$495,MATCH(E38,'Dashboard Items'!$A$2:$A$495,0)),""))="Key Service",IF(O38="No","Key Service: shown, not counted","Counts in Key Service gauge"),IF(IF(D38&lt;&gt;"",D38,IFERROR(INDEX('Dashboard Items'!$B$2:$B$495,MATCH(E38,'Dashboard Items'!$A$2:$A$495,0)),""))="Program",IF(ISNUMBER(SEARCH("ks",G38)),IF(O38="No","Program, also at Key Service: not counted","Counts in Key Service gauge + sets Program chip"),IF(O38="No","Program: shown, no status chip","Sets Program status chip")),IF(IF(D38&lt;&gt;"",D38,IFERROR(INDEX('Dashboard Items'!$B$2:$B$495,MATCH(E38,'Dashboard Items'!$A$2:$A$495,0)),""))="Work System","Work System: shown, not counted","Check Level"))))</f>
        <v/>
      </c>
    </row>
    <row r="39" ht="15.75" customFormat="1" customHeight="1" s="366">
      <c r="A39" s="367">
        <f>LEFT(B39, FIND("-", B39) - 1)</f>
        <v/>
      </c>
      <c r="B39" s="367" t="inlineStr">
        <is>
          <t>IT-PITSURV</t>
        </is>
      </c>
      <c r="C39" s="370" t="inlineStr">
        <is>
          <t>Point in time help desk survey</t>
        </is>
      </c>
      <c r="D39" s="367" t="inlineStr">
        <is>
          <t>Program</t>
        </is>
      </c>
      <c r="E39" s="367" t="inlineStr">
        <is>
          <t>p34</t>
        </is>
      </c>
      <c r="F39" s="368">
        <f>IF(E39="","",IFERROR(IF(INDEX('Dashboard Items'!$B$2:$B$495,MATCH(E39,'Dashboard Items'!$A$2:$A$495,0))="Objective","Objectives go in the next column",IF(OR(D39="",INDEX('Dashboard Items'!$B$2:$B$495,MATCH(E39,'Dashboard Items'!$A$2:$A$495,0))=D39),INDEX('Dashboard Items'!$C$2:$C$495,MATCH(E39,'Dashboard Items'!$A$2:$A$495,0)),"Level does not match ID")),"ID not found"))</f>
        <v/>
      </c>
      <c r="G39" s="369" t="inlineStr">
        <is>
          <t>ks7</t>
        </is>
      </c>
      <c r="H39" s="368">
        <f>IF(G39="","",IF(ISNUMBER(SEARCH(",",G39)),"Several items (the script lists them)",IFERROR(INDEX('Dashboard Items'!$B$2:$B$495,MATCH(G39,'Dashboard Items'!$A$2:$A$495,0))&amp;": "&amp;INDEX('Dashboard Items'!$C$2:$C$495,MATCH(G39,'Dashboard Items'!$A$2:$A$495,0)),"ID not found")))</f>
        <v/>
      </c>
      <c r="I39" s="367" t="inlineStr">
        <is>
          <t>percent</t>
        </is>
      </c>
      <c r="J39" s="367" t="n">
        <v>1</v>
      </c>
      <c r="K39" s="367" t="inlineStr">
        <is>
          <t>Yes</t>
        </is>
      </c>
      <c r="L39" s="367" t="inlineStr">
        <is>
          <t>Target</t>
        </is>
      </c>
      <c r="M39" s="367" t="n">
        <v>5</v>
      </c>
      <c r="N39" s="367" t="n">
        <v>15</v>
      </c>
      <c r="O39" s="367" t="inlineStr">
        <is>
          <t>Yes</t>
        </is>
      </c>
      <c r="P39" s="367" t="inlineStr">
        <is>
          <t>Every year</t>
        </is>
      </c>
      <c r="Q39" s="367" t="inlineStr">
        <is>
          <t>IT Director</t>
        </is>
      </c>
      <c r="R39" s="367" t="inlineStr">
        <is>
          <t>SysAid</t>
        </is>
      </c>
      <c r="S39" s="367" t="n"/>
      <c r="T39" s="367" t="n"/>
      <c r="U39" s="355">
        <f>IF(B39="","",IF(IF(D39&lt;&gt;"",D39,IFERROR(INDEX('Dashboard Items'!$B$2:$B$495,MATCH(E39,'Dashboard Items'!$A$2:$A$495,0)),""))="Key Service",IF(O39="No","Key Service: shown, not counted","Counts in Key Service gauge"),IF(IF(D39&lt;&gt;"",D39,IFERROR(INDEX('Dashboard Items'!$B$2:$B$495,MATCH(E39,'Dashboard Items'!$A$2:$A$495,0)),""))="Program",IF(ISNUMBER(SEARCH("ks",G39)),IF(O39="No","Program, also at Key Service: not counted","Counts in Key Service gauge + sets Program chip"),IF(O39="No","Program: shown, no status chip","Sets Program status chip")),IF(IF(D39&lt;&gt;"",D39,IFERROR(INDEX('Dashboard Items'!$B$2:$B$495,MATCH(E39,'Dashboard Items'!$A$2:$A$495,0)),""))="Work System","Work System: shown, not counted","Check Level"))))</f>
        <v/>
      </c>
    </row>
    <row r="40" ht="15.75" customFormat="1" customHeight="1" s="366">
      <c r="A40" s="367">
        <f>LEFT(B40, FIND("-", B40) - 1)</f>
        <v/>
      </c>
      <c r="B40" s="367" t="inlineStr">
        <is>
          <t>IT-TIXSLA</t>
        </is>
      </c>
      <c r="C40" s="367" t="inlineStr">
        <is>
          <t>Help desk ticket SLA compliance</t>
        </is>
      </c>
      <c r="D40" s="367" t="inlineStr">
        <is>
          <t>Program</t>
        </is>
      </c>
      <c r="E40" s="367" t="inlineStr">
        <is>
          <t>p34</t>
        </is>
      </c>
      <c r="F40" s="368">
        <f>IF(E40="","",IFERROR(IF(INDEX('Dashboard Items'!$B$2:$B$495,MATCH(E40,'Dashboard Items'!$A$2:$A$495,0))="Objective","Objectives go in the next column",IF(OR(D40="",INDEX('Dashboard Items'!$B$2:$B$495,MATCH(E40,'Dashboard Items'!$A$2:$A$495,0))=D40),INDEX('Dashboard Items'!$C$2:$C$495,MATCH(E40,'Dashboard Items'!$A$2:$A$495,0)),"Level does not match ID")),"ID not found"))</f>
        <v/>
      </c>
      <c r="G40" s="369" t="inlineStr">
        <is>
          <t>ks7</t>
        </is>
      </c>
      <c r="H40" s="368">
        <f>IF(G40="","",IF(ISNUMBER(SEARCH(",",G40)),"Several items (the script lists them)",IFERROR(INDEX('Dashboard Items'!$B$2:$B$495,MATCH(G40,'Dashboard Items'!$A$2:$A$495,0))&amp;": "&amp;INDEX('Dashboard Items'!$C$2:$C$495,MATCH(G40,'Dashboard Items'!$A$2:$A$495,0)),"ID not found")))</f>
        <v/>
      </c>
      <c r="I40" s="367" t="inlineStr">
        <is>
          <t>percent</t>
        </is>
      </c>
      <c r="J40" s="367" t="n">
        <v>2</v>
      </c>
      <c r="K40" s="367" t="inlineStr">
        <is>
          <t>Yes</t>
        </is>
      </c>
      <c r="L40" s="367" t="inlineStr">
        <is>
          <t>Target</t>
        </is>
      </c>
      <c r="M40" s="367" t="n">
        <v>5</v>
      </c>
      <c r="N40" s="367" t="n">
        <v>15</v>
      </c>
      <c r="O40" s="367" t="inlineStr">
        <is>
          <t>Yes</t>
        </is>
      </c>
      <c r="P40" s="367" t="inlineStr">
        <is>
          <t>Every year</t>
        </is>
      </c>
      <c r="Q40" s="367" t="inlineStr">
        <is>
          <t>IT Director</t>
        </is>
      </c>
      <c r="R40" s="367" t="inlineStr">
        <is>
          <t>SysAid</t>
        </is>
      </c>
      <c r="S40" s="367" t="n"/>
      <c r="T40" s="367" t="n"/>
      <c r="U40" s="355">
        <f>IF(B40="","",IF(IF(D40&lt;&gt;"",D40,IFERROR(INDEX('Dashboard Items'!$B$2:$B$495,MATCH(E40,'Dashboard Items'!$A$2:$A$495,0)),""))="Key Service",IF(O40="No","Key Service: shown, not counted","Counts in Key Service gauge"),IF(IF(D40&lt;&gt;"",D40,IFERROR(INDEX('Dashboard Items'!$B$2:$B$495,MATCH(E40,'Dashboard Items'!$A$2:$A$495,0)),""))="Program",IF(ISNUMBER(SEARCH("ks",G40)),IF(O40="No","Program, also at Key Service: not counted","Counts in Key Service gauge + sets Program chip"),IF(O40="No","Program: shown, no status chip","Sets Program status chip")),IF(IF(D40&lt;&gt;"",D40,IFERROR(INDEX('Dashboard Items'!$B$2:$B$495,MATCH(E40,'Dashboard Items'!$A$2:$A$495,0)),""))="Work System","Work System: shown, not counted","Check Level"))))</f>
        <v/>
      </c>
    </row>
    <row r="41" ht="15.75" customFormat="1" customHeight="1" s="366">
      <c r="A41" s="367">
        <f>LEFT(B41, FIND("-", B41) - 1)</f>
        <v/>
      </c>
      <c r="B41" s="367" t="inlineStr">
        <is>
          <t>IT-UPTIME</t>
        </is>
      </c>
      <c r="C41" s="370" t="inlineStr">
        <is>
          <t>Network uptime</t>
        </is>
      </c>
      <c r="D41" s="367" t="inlineStr">
        <is>
          <t>Program</t>
        </is>
      </c>
      <c r="E41" s="367" t="inlineStr">
        <is>
          <t>p30</t>
        </is>
      </c>
      <c r="F41" s="368">
        <f>IF(E41="","",IFERROR(IF(INDEX('Dashboard Items'!$B$2:$B$495,MATCH(E41,'Dashboard Items'!$A$2:$A$495,0))="Objective","Objectives go in the next column",IF(OR(D41="",INDEX('Dashboard Items'!$B$2:$B$495,MATCH(E41,'Dashboard Items'!$A$2:$A$495,0))=D41),INDEX('Dashboard Items'!$C$2:$C$495,MATCH(E41,'Dashboard Items'!$A$2:$A$495,0)),"Level does not match ID")),"ID not found"))</f>
        <v/>
      </c>
      <c r="G41" s="369" t="inlineStr">
        <is>
          <t>ks7, ob14</t>
        </is>
      </c>
      <c r="H41" s="368">
        <f>IF(G41="","",IF(ISNUMBER(SEARCH(",",G41)),"Several items (the script lists them)",IFERROR(INDEX('Dashboard Items'!$B$2:$B$495,MATCH(G41,'Dashboard Items'!$A$2:$A$495,0))&amp;": "&amp;INDEX('Dashboard Items'!$C$2:$C$495,MATCH(G41,'Dashboard Items'!$A$2:$A$495,0)),"ID not found")))</f>
        <v/>
      </c>
      <c r="I41" s="367" t="inlineStr">
        <is>
          <t>percent</t>
        </is>
      </c>
      <c r="J41" s="367" t="n">
        <v>2</v>
      </c>
      <c r="K41" s="367" t="inlineStr">
        <is>
          <t>Yes</t>
        </is>
      </c>
      <c r="L41" s="367" t="inlineStr">
        <is>
          <t>Target</t>
        </is>
      </c>
      <c r="M41" s="367" t="n">
        <v>5</v>
      </c>
      <c r="N41" s="367" t="n">
        <v>15</v>
      </c>
      <c r="O41" s="367" t="inlineStr">
        <is>
          <t>Yes</t>
        </is>
      </c>
      <c r="P41" s="367" t="inlineStr">
        <is>
          <t>Every year</t>
        </is>
      </c>
      <c r="Q41" s="367" t="inlineStr">
        <is>
          <t>IT Director</t>
        </is>
      </c>
      <c r="R41" s="367" t="inlineStr">
        <is>
          <t>Solar Winds</t>
        </is>
      </c>
      <c r="S41" s="367" t="n"/>
      <c r="T41" s="367" t="n"/>
      <c r="U41" s="355">
        <f>IF(B41="","",IF(IF(D41&lt;&gt;"",D41,IFERROR(INDEX('Dashboard Items'!$B$2:$B$495,MATCH(E41,'Dashboard Items'!$A$2:$A$495,0)),""))="Key Service",IF(O41="No","Key Service: shown, not counted","Counts in Key Service gauge"),IF(IF(D41&lt;&gt;"",D41,IFERROR(INDEX('Dashboard Items'!$B$2:$B$495,MATCH(E41,'Dashboard Items'!$A$2:$A$495,0)),""))="Program",IF(ISNUMBER(SEARCH("ks",G41)),IF(O41="No","Program, also at Key Service: not counted","Counts in Key Service gauge + sets Program chip"),IF(O41="No","Program: shown, no status chip","Sets Program status chip")),IF(IF(D41&lt;&gt;"",D41,IFERROR(INDEX('Dashboard Items'!$B$2:$B$495,MATCH(E41,'Dashboard Items'!$A$2:$A$495,0)),""))="Work System","Work System: shown, not counted","Check Level"))))</f>
        <v/>
      </c>
    </row>
    <row r="42" ht="15.75" customFormat="1" customHeight="1" s="366">
      <c r="A42" s="371">
        <f>LEFT(B42, FIND("-", B42) - 1)</f>
        <v/>
      </c>
      <c r="B42" s="371" t="inlineStr">
        <is>
          <t>LIB-CIRCULATION</t>
        </is>
      </c>
      <c r="C42" s="372" t="inlineStr">
        <is>
          <t>Total circulation (physical and digital)</t>
        </is>
      </c>
      <c r="D42" s="371" t="inlineStr">
        <is>
          <t>Program</t>
        </is>
      </c>
      <c r="E42" s="371" t="inlineStr">
        <is>
          <t>p82</t>
        </is>
      </c>
      <c r="F42" s="373">
        <f>IF(E42="","",IFERROR(IF(INDEX('Dashboard Items'!$B$2:$B$495,MATCH(E42,'Dashboard Items'!$A$2:$A$495,0))="Objective","Objectives go in the next column",IF(OR(D42="",INDEX('Dashboard Items'!$B$2:$B$495,MATCH(E42,'Dashboard Items'!$A$2:$A$495,0))=D42),INDEX('Dashboard Items'!$C$2:$C$495,MATCH(E42,'Dashboard Items'!$A$2:$A$495,0)),"Level does not match ID")),"ID not found"))</f>
        <v/>
      </c>
      <c r="G42" s="374" t="inlineStr">
        <is>
          <t>ks17</t>
        </is>
      </c>
      <c r="H42" s="373">
        <f>IF(G42="","",IF(ISNUMBER(SEARCH(",",G42)),"Several items (the script lists them)",IFERROR(INDEX('Dashboard Items'!$B$2:$B$495,MATCH(G42,'Dashboard Items'!$A$2:$A$495,0))&amp;": "&amp;INDEX('Dashboard Items'!$C$2:$C$495,MATCH(G42,'Dashboard Items'!$A$2:$A$495,0)),"ID not found")))</f>
        <v/>
      </c>
      <c r="I42" s="371" t="inlineStr">
        <is>
          <t>number</t>
        </is>
      </c>
      <c r="J42" s="371" t="n">
        <v>0</v>
      </c>
      <c r="K42" s="371" t="inlineStr">
        <is>
          <t>Yes</t>
        </is>
      </c>
      <c r="L42" s="371" t="inlineStr">
        <is>
          <t>Target</t>
        </is>
      </c>
      <c r="M42" s="371" t="n">
        <v>0</v>
      </c>
      <c r="N42" s="371" t="n">
        <v>0</v>
      </c>
      <c r="O42" s="371" t="inlineStr">
        <is>
          <t>Yes</t>
        </is>
      </c>
      <c r="P42" s="371" t="inlineStr">
        <is>
          <t>Every Year</t>
        </is>
      </c>
      <c r="Q42" s="371" t="inlineStr">
        <is>
          <t>Library Director</t>
        </is>
      </c>
      <c r="R42" s="371" t="n"/>
      <c r="S42" s="371" t="n"/>
      <c r="T42" s="371" t="n"/>
      <c r="U42" s="355">
        <f>IF(B42="","",IF(IF(D42&lt;&gt;"",D42,IFERROR(INDEX('Dashboard Items'!$B$2:$B$495,MATCH(E42,'Dashboard Items'!$A$2:$A$495,0)),""))="Key Service",IF(O42="No","Key Service: shown, not counted","Counts in Key Service gauge"),IF(IF(D42&lt;&gt;"",D42,IFERROR(INDEX('Dashboard Items'!$B$2:$B$495,MATCH(E42,'Dashboard Items'!$A$2:$A$495,0)),""))="Program",IF(ISNUMBER(SEARCH("ks",G42)),IF(O42="No","Program, also at Key Service: not counted","Counts in Key Service gauge + sets Program chip"),IF(O42="No","Program: shown, no status chip","Sets Program status chip")),IF(IF(D42&lt;&gt;"",D42,IFERROR(INDEX('Dashboard Items'!$B$2:$B$495,MATCH(E42,'Dashboard Items'!$A$2:$A$495,0)),""))="Work System","Work System: shown, not counted","Check Level"))))</f>
        <v/>
      </c>
    </row>
    <row r="43" ht="15.75" customFormat="1" customHeight="1" s="366">
      <c r="A43" s="371">
        <f>LEFT(B43, FIND("-", B43) - 1)</f>
        <v/>
      </c>
      <c r="B43" s="371" t="inlineStr">
        <is>
          <t>LIB-COMPANDWIFI</t>
        </is>
      </c>
      <c r="C43" s="372" t="inlineStr">
        <is>
          <t>Unique wireless use and Total Computer Use</t>
        </is>
      </c>
      <c r="D43" s="371" t="inlineStr">
        <is>
          <t>Program</t>
        </is>
      </c>
      <c r="E43" s="371" t="inlineStr">
        <is>
          <t>p83</t>
        </is>
      </c>
      <c r="F43" s="373">
        <f>IF(E43="","",IFERROR(IF(INDEX('Dashboard Items'!$B$2:$B$495,MATCH(E43,'Dashboard Items'!$A$2:$A$495,0))="Objective","Objectives go in the next column",IF(OR(D43="",INDEX('Dashboard Items'!$B$2:$B$495,MATCH(E43,'Dashboard Items'!$A$2:$A$495,0))=D43),INDEX('Dashboard Items'!$C$2:$C$495,MATCH(E43,'Dashboard Items'!$A$2:$A$495,0)),"Level does not match ID")),"ID not found"))</f>
        <v/>
      </c>
      <c r="G43" s="374" t="n"/>
      <c r="H43" s="373">
        <f>IF(G43="","",IF(ISNUMBER(SEARCH(",",G43)),"Several items (the script lists them)",IFERROR(INDEX('Dashboard Items'!$B$2:$B$495,MATCH(G43,'Dashboard Items'!$A$2:$A$495,0))&amp;": "&amp;INDEX('Dashboard Items'!$C$2:$C$495,MATCH(G43,'Dashboard Items'!$A$2:$A$495,0)),"ID not found")))</f>
        <v/>
      </c>
      <c r="I43" s="371" t="inlineStr">
        <is>
          <t>number</t>
        </is>
      </c>
      <c r="J43" s="371" t="n">
        <v>2</v>
      </c>
      <c r="K43" s="371" t="inlineStr">
        <is>
          <t>Yes</t>
        </is>
      </c>
      <c r="L43" s="371" t="inlineStr">
        <is>
          <t>Target</t>
        </is>
      </c>
      <c r="M43" s="371" t="n">
        <v>0</v>
      </c>
      <c r="N43" s="371" t="n">
        <v>0</v>
      </c>
      <c r="O43" s="371" t="inlineStr">
        <is>
          <t>Yes</t>
        </is>
      </c>
      <c r="P43" s="371" t="inlineStr">
        <is>
          <t>Every Year</t>
        </is>
      </c>
      <c r="Q43" s="371" t="inlineStr">
        <is>
          <t>Library Director</t>
        </is>
      </c>
      <c r="R43" s="371" t="n"/>
      <c r="S43" s="371" t="n"/>
      <c r="T43" s="371" t="n"/>
      <c r="U43" s="355">
        <f>IF(B43="","",IF(IF(D43&lt;&gt;"",D43,IFERROR(INDEX('Dashboard Items'!$B$2:$B$495,MATCH(E43,'Dashboard Items'!$A$2:$A$495,0)),""))="Key Service",IF(O43="No","Key Service: shown, not counted","Counts in Key Service gauge"),IF(IF(D43&lt;&gt;"",D43,IFERROR(INDEX('Dashboard Items'!$B$2:$B$495,MATCH(E43,'Dashboard Items'!$A$2:$A$495,0)),""))="Program",IF(ISNUMBER(SEARCH("ks",G43)),IF(O43="No","Program, also at Key Service: not counted","Counts in Key Service gauge + sets Program chip"),IF(O43="No","Program: shown, no status chip","Sets Program status chip")),IF(IF(D43&lt;&gt;"",D43,IFERROR(INDEX('Dashboard Items'!$B$2:$B$495,MATCH(E43,'Dashboard Items'!$A$2:$A$495,0)),""))="Work System","Work System: shown, not counted","Check Level"))))</f>
        <v/>
      </c>
    </row>
    <row r="44" ht="15" customFormat="1" customHeight="1" s="375">
      <c r="A44" s="371">
        <f>LEFT(B44, FIND("-", B44) - 1)</f>
        <v/>
      </c>
      <c r="B44" s="371" t="inlineStr">
        <is>
          <t>LIB-OUTREACHCON</t>
        </is>
      </c>
      <c r="C44" s="372" t="inlineStr">
        <is>
          <t>Total outreach contacts</t>
        </is>
      </c>
      <c r="D44" s="371" t="inlineStr">
        <is>
          <t>Program</t>
        </is>
      </c>
      <c r="E44" s="371" t="inlineStr">
        <is>
          <t>p85</t>
        </is>
      </c>
      <c r="F44" s="373">
        <f>IF(E44="","",IFERROR(IF(INDEX('Dashboard Items'!$B$2:$B$495,MATCH(E44,'Dashboard Items'!$A$2:$A$495,0))="Objective","Objectives go in the next column",IF(OR(D44="",INDEX('Dashboard Items'!$B$2:$B$495,MATCH(E44,'Dashboard Items'!$A$2:$A$495,0))=D44),INDEX('Dashboard Items'!$C$2:$C$495,MATCH(E44,'Dashboard Items'!$A$2:$A$495,0)),"Level does not match ID")),"ID not found"))</f>
        <v/>
      </c>
      <c r="G44" s="374" t="n"/>
      <c r="H44" s="373">
        <f>IF(G44="","",IF(ISNUMBER(SEARCH(",",G44)),"Several items (the script lists them)",IFERROR(INDEX('Dashboard Items'!$B$2:$B$495,MATCH(G44,'Dashboard Items'!$A$2:$A$495,0))&amp;": "&amp;INDEX('Dashboard Items'!$C$2:$C$495,MATCH(G44,'Dashboard Items'!$A$2:$A$495,0)),"ID not found")))</f>
        <v/>
      </c>
      <c r="I44" s="371" t="inlineStr">
        <is>
          <t>number</t>
        </is>
      </c>
      <c r="J44" s="371" t="n">
        <v>2</v>
      </c>
      <c r="K44" s="371" t="inlineStr">
        <is>
          <t>Yes</t>
        </is>
      </c>
      <c r="L44" s="371" t="inlineStr">
        <is>
          <t>Target</t>
        </is>
      </c>
      <c r="M44" s="371" t="n">
        <v>0</v>
      </c>
      <c r="N44" s="371" t="n">
        <v>0</v>
      </c>
      <c r="O44" s="371" t="inlineStr">
        <is>
          <t>Yes</t>
        </is>
      </c>
      <c r="P44" s="371" t="inlineStr">
        <is>
          <t>Every Year</t>
        </is>
      </c>
      <c r="Q44" s="371" t="inlineStr">
        <is>
          <t>Library Director</t>
        </is>
      </c>
      <c r="R44" s="371" t="n"/>
      <c r="S44" s="371" t="n"/>
      <c r="T44" s="371" t="n"/>
      <c r="U44" s="355">
        <f>IF(B44="","",IF(IF(D44&lt;&gt;"",D44,IFERROR(INDEX('Dashboard Items'!$B$2:$B$495,MATCH(E44,'Dashboard Items'!$A$2:$A$495,0)),""))="Key Service",IF(O44="No","Key Service: shown, not counted","Counts in Key Service gauge"),IF(IF(D44&lt;&gt;"",D44,IFERROR(INDEX('Dashboard Items'!$B$2:$B$495,MATCH(E44,'Dashboard Items'!$A$2:$A$495,0)),""))="Program",IF(ISNUMBER(SEARCH("ks",G44)),IF(O44="No","Program, also at Key Service: not counted","Counts in Key Service gauge + sets Program chip"),IF(O44="No","Program: shown, no status chip","Sets Program status chip")),IF(IF(D44&lt;&gt;"",D44,IFERROR(INDEX('Dashboard Items'!$B$2:$B$495,MATCH(E44,'Dashboard Items'!$A$2:$A$495,0)),""))="Work System","Work System: shown, not counted","Check Level"))))</f>
        <v/>
      </c>
    </row>
    <row r="45" ht="15" customFormat="1" customHeight="1" s="375">
      <c r="A45" s="371">
        <f>LEFT(B45, FIND("-", B45) - 1)</f>
        <v/>
      </c>
      <c r="B45" s="371" t="inlineStr">
        <is>
          <t>LIB-PATRONPPROG</t>
        </is>
      </c>
      <c r="C45" s="372" t="inlineStr">
        <is>
          <t>Patron per program</t>
        </is>
      </c>
      <c r="D45" s="371" t="inlineStr">
        <is>
          <t>Program</t>
        </is>
      </c>
      <c r="E45" s="371" t="inlineStr">
        <is>
          <t>p85</t>
        </is>
      </c>
      <c r="F45" s="373">
        <f>IF(E45="","",IFERROR(IF(INDEX('Dashboard Items'!$B$2:$B$495,MATCH(E45,'Dashboard Items'!$A$2:$A$495,0))="Objective","Objectives go in the next column",IF(OR(D45="",INDEX('Dashboard Items'!$B$2:$B$495,MATCH(E45,'Dashboard Items'!$A$2:$A$495,0))=D45),INDEX('Dashboard Items'!$C$2:$C$495,MATCH(E45,'Dashboard Items'!$A$2:$A$495,0)),"Level does not match ID")),"ID not found"))</f>
        <v/>
      </c>
      <c r="G45" s="374" t="n"/>
      <c r="H45" s="373">
        <f>IF(G45="","",IF(ISNUMBER(SEARCH(",",G45)),"Several items (the script lists them)",IFERROR(INDEX('Dashboard Items'!$B$2:$B$495,MATCH(G45,'Dashboard Items'!$A$2:$A$495,0))&amp;": "&amp;INDEX('Dashboard Items'!$C$2:$C$495,MATCH(G45,'Dashboard Items'!$A$2:$A$495,0)),"ID not found")))</f>
        <v/>
      </c>
      <c r="I45" s="371" t="inlineStr">
        <is>
          <t>number</t>
        </is>
      </c>
      <c r="J45" s="371" t="n">
        <v>2</v>
      </c>
      <c r="K45" s="371" t="inlineStr">
        <is>
          <t>Yes</t>
        </is>
      </c>
      <c r="L45" s="371" t="inlineStr">
        <is>
          <t>Target</t>
        </is>
      </c>
      <c r="M45" s="371" t="n">
        <v>0</v>
      </c>
      <c r="N45" s="371" t="n">
        <v>0</v>
      </c>
      <c r="O45" s="371" t="inlineStr">
        <is>
          <t>Yes</t>
        </is>
      </c>
      <c r="P45" s="371" t="inlineStr">
        <is>
          <t>Every Year</t>
        </is>
      </c>
      <c r="Q45" s="371" t="inlineStr">
        <is>
          <t>Library Director</t>
        </is>
      </c>
      <c r="R45" s="371" t="n"/>
      <c r="S45" s="371" t="n"/>
      <c r="T45" s="371" t="n"/>
      <c r="U45" s="355">
        <f>IF(B45="","",IF(IF(D45&lt;&gt;"",D45,IFERROR(INDEX('Dashboard Items'!$B$2:$B$495,MATCH(E45,'Dashboard Items'!$A$2:$A$495,0)),""))="Key Service",IF(O45="No","Key Service: shown, not counted","Counts in Key Service gauge"),IF(IF(D45&lt;&gt;"",D45,IFERROR(INDEX('Dashboard Items'!$B$2:$B$495,MATCH(E45,'Dashboard Items'!$A$2:$A$495,0)),""))="Program",IF(ISNUMBER(SEARCH("ks",G45)),IF(O45="No","Program, also at Key Service: not counted","Counts in Key Service gauge + sets Program chip"),IF(O45="No","Program: shown, no status chip","Sets Program status chip")),IF(IF(D45&lt;&gt;"",D45,IFERROR(INDEX('Dashboard Items'!$B$2:$B$495,MATCH(E45,'Dashboard Items'!$A$2:$A$495,0)),""))="Work System","Work System: shown, not counted","Check Level"))))</f>
        <v/>
      </c>
    </row>
    <row r="46" ht="15" customFormat="1" customHeight="1" s="375">
      <c r="A46" s="371">
        <f>LEFT(B46, FIND("-", B46) - 1)</f>
        <v/>
      </c>
      <c r="B46" s="371" t="inlineStr">
        <is>
          <t>LIB-PROGATTEND</t>
        </is>
      </c>
      <c r="C46" s="372" t="inlineStr">
        <is>
          <t>Total program attendance</t>
        </is>
      </c>
      <c r="D46" s="371" t="inlineStr">
        <is>
          <t>Program</t>
        </is>
      </c>
      <c r="E46" s="371" t="inlineStr">
        <is>
          <t>p85</t>
        </is>
      </c>
      <c r="F46" s="373">
        <f>IF(E46="","",IFERROR(IF(INDEX('Dashboard Items'!$B$2:$B$495,MATCH(E46,'Dashboard Items'!$A$2:$A$495,0))="Objective","Objectives go in the next column",IF(OR(D46="",INDEX('Dashboard Items'!$B$2:$B$495,MATCH(E46,'Dashboard Items'!$A$2:$A$495,0))=D46),INDEX('Dashboard Items'!$C$2:$C$495,MATCH(E46,'Dashboard Items'!$A$2:$A$495,0)),"Level does not match ID")),"ID not found"))</f>
        <v/>
      </c>
      <c r="G46" s="374" t="n"/>
      <c r="H46" s="373">
        <f>IF(G46="","",IF(ISNUMBER(SEARCH(",",G46)),"Several items (the script lists them)",IFERROR(INDEX('Dashboard Items'!$B$2:$B$495,MATCH(G46,'Dashboard Items'!$A$2:$A$495,0))&amp;": "&amp;INDEX('Dashboard Items'!$C$2:$C$495,MATCH(G46,'Dashboard Items'!$A$2:$A$495,0)),"ID not found")))</f>
        <v/>
      </c>
      <c r="I46" s="371" t="inlineStr">
        <is>
          <t>number</t>
        </is>
      </c>
      <c r="J46" s="371" t="n">
        <v>2</v>
      </c>
      <c r="K46" s="371" t="inlineStr">
        <is>
          <t>Yes</t>
        </is>
      </c>
      <c r="L46" s="371" t="inlineStr">
        <is>
          <t>Target</t>
        </is>
      </c>
      <c r="M46" s="371" t="n">
        <v>0</v>
      </c>
      <c r="N46" s="371" t="n">
        <v>0</v>
      </c>
      <c r="O46" s="371" t="inlineStr">
        <is>
          <t>Yes</t>
        </is>
      </c>
      <c r="P46" s="371" t="inlineStr">
        <is>
          <t>Every Year</t>
        </is>
      </c>
      <c r="Q46" s="371" t="inlineStr">
        <is>
          <t>Library Director</t>
        </is>
      </c>
      <c r="R46" s="371" t="n"/>
      <c r="S46" s="371" t="n"/>
      <c r="T46" s="371" t="n"/>
      <c r="U46" s="355">
        <f>IF(B46="","",IF(IF(D46&lt;&gt;"",D46,IFERROR(INDEX('Dashboard Items'!$B$2:$B$495,MATCH(E46,'Dashboard Items'!$A$2:$A$495,0)),""))="Key Service",IF(O46="No","Key Service: shown, not counted","Counts in Key Service gauge"),IF(IF(D46&lt;&gt;"",D46,IFERROR(INDEX('Dashboard Items'!$B$2:$B$495,MATCH(E46,'Dashboard Items'!$A$2:$A$495,0)),""))="Program",IF(ISNUMBER(SEARCH("ks",G46)),IF(O46="No","Program, also at Key Service: not counted","Counts in Key Service gauge + sets Program chip"),IF(O46="No","Program: shown, no status chip","Sets Program status chip")),IF(IF(D46&lt;&gt;"",D46,IFERROR(INDEX('Dashboard Items'!$B$2:$B$495,MATCH(E46,'Dashboard Items'!$A$2:$A$495,0)),""))="Work System","Work System: shown, not counted","Check Level"))))</f>
        <v/>
      </c>
    </row>
    <row r="47" ht="15" customFormat="1" customHeight="1" s="375">
      <c r="A47" s="371">
        <f>LEFT(B47, FIND("-", B47) - 1)</f>
        <v/>
      </c>
      <c r="B47" s="371" t="inlineStr">
        <is>
          <t>LIB-REFQUEST</t>
        </is>
      </c>
      <c r="C47" s="372" t="inlineStr">
        <is>
          <t>Reference Questions - 5 segments (avg. per month, manually counted one day per mo)</t>
        </is>
      </c>
      <c r="D47" s="371" t="inlineStr">
        <is>
          <t>Program</t>
        </is>
      </c>
      <c r="E47" s="371" t="inlineStr">
        <is>
          <t>p84</t>
        </is>
      </c>
      <c r="F47" s="373">
        <f>IF(E47="","",IFERROR(IF(INDEX('Dashboard Items'!$B$2:$B$495,MATCH(E47,'Dashboard Items'!$A$2:$A$495,0))="Objective","Objectives go in the next column",IF(OR(D47="",INDEX('Dashboard Items'!$B$2:$B$495,MATCH(E47,'Dashboard Items'!$A$2:$A$495,0))=D47),INDEX('Dashboard Items'!$C$2:$C$495,MATCH(E47,'Dashboard Items'!$A$2:$A$495,0)),"Level does not match ID")),"ID not found"))</f>
        <v/>
      </c>
      <c r="G47" s="374" t="n"/>
      <c r="H47" s="373">
        <f>IF(G47="","",IF(ISNUMBER(SEARCH(",",G47)),"Several items (the script lists them)",IFERROR(INDEX('Dashboard Items'!$B$2:$B$495,MATCH(G47,'Dashboard Items'!$A$2:$A$495,0))&amp;": "&amp;INDEX('Dashboard Items'!$C$2:$C$495,MATCH(G47,'Dashboard Items'!$A$2:$A$495,0)),"ID not found")))</f>
        <v/>
      </c>
      <c r="I47" s="371" t="inlineStr">
        <is>
          <t>number</t>
        </is>
      </c>
      <c r="J47" s="371" t="n">
        <v>2</v>
      </c>
      <c r="K47" s="371" t="inlineStr">
        <is>
          <t>Yes</t>
        </is>
      </c>
      <c r="L47" s="371" t="inlineStr">
        <is>
          <t>Target</t>
        </is>
      </c>
      <c r="M47" s="371" t="n">
        <v>0</v>
      </c>
      <c r="N47" s="371" t="n">
        <v>0</v>
      </c>
      <c r="O47" s="371" t="inlineStr">
        <is>
          <t>Yes</t>
        </is>
      </c>
      <c r="P47" s="371" t="inlineStr">
        <is>
          <t>Every Year</t>
        </is>
      </c>
      <c r="Q47" s="371" t="inlineStr">
        <is>
          <t>Library Director</t>
        </is>
      </c>
      <c r="R47" s="371" t="n"/>
      <c r="S47" s="371" t="n"/>
      <c r="T47" s="371" t="n"/>
      <c r="U47" s="355">
        <f>IF(B47="","",IF(IF(D47&lt;&gt;"",D47,IFERROR(INDEX('Dashboard Items'!$B$2:$B$495,MATCH(E47,'Dashboard Items'!$A$2:$A$495,0)),""))="Key Service",IF(O47="No","Key Service: shown, not counted","Counts in Key Service gauge"),IF(IF(D47&lt;&gt;"",D47,IFERROR(INDEX('Dashboard Items'!$B$2:$B$495,MATCH(E47,'Dashboard Items'!$A$2:$A$495,0)),""))="Program",IF(ISNUMBER(SEARCH("ks",G47)),IF(O47="No","Program, also at Key Service: not counted","Counts in Key Service gauge + sets Program chip"),IF(O47="No","Program: shown, no status chip","Sets Program status chip")),IF(IF(D47&lt;&gt;"",D47,IFERROR(INDEX('Dashboard Items'!$B$2:$B$495,MATCH(E47,'Dashboard Items'!$A$2:$A$495,0)),""))="Work System","Work System: shown, not counted","Check Level"))))</f>
        <v/>
      </c>
    </row>
    <row r="48" ht="15" customFormat="1" customHeight="1" s="376">
      <c r="A48" s="371">
        <f>LEFT(B48, FIND("-", B48) - 1)</f>
        <v/>
      </c>
      <c r="B48" s="371" t="inlineStr">
        <is>
          <t>LIB-ROOMRENTALS</t>
        </is>
      </c>
      <c r="C48" s="372" t="inlineStr">
        <is>
          <t>Program room rentals</t>
        </is>
      </c>
      <c r="D48" s="371" t="inlineStr">
        <is>
          <t>Program</t>
        </is>
      </c>
      <c r="E48" s="371" t="inlineStr">
        <is>
          <t>p83</t>
        </is>
      </c>
      <c r="F48" s="373">
        <f>IF(E48="","",IFERROR(IF(INDEX('Dashboard Items'!$B$2:$B$495,MATCH(E48,'Dashboard Items'!$A$2:$A$495,0))="Objective","Objectives go in the next column",IF(OR(D48="",INDEX('Dashboard Items'!$B$2:$B$495,MATCH(E48,'Dashboard Items'!$A$2:$A$495,0))=D48),INDEX('Dashboard Items'!$C$2:$C$495,MATCH(E48,'Dashboard Items'!$A$2:$A$495,0)),"Level does not match ID")),"ID not found"))</f>
        <v/>
      </c>
      <c r="G48" s="374" t="n"/>
      <c r="H48" s="373">
        <f>IF(G48="","",IF(ISNUMBER(SEARCH(",",G48)),"Several items (the script lists them)",IFERROR(INDEX('Dashboard Items'!$B$2:$B$495,MATCH(G48,'Dashboard Items'!$A$2:$A$495,0))&amp;": "&amp;INDEX('Dashboard Items'!$C$2:$C$495,MATCH(G48,'Dashboard Items'!$A$2:$A$495,0)),"ID not found")))</f>
        <v/>
      </c>
      <c r="I48" s="371" t="inlineStr">
        <is>
          <t>number</t>
        </is>
      </c>
      <c r="J48" s="371" t="n">
        <v>2</v>
      </c>
      <c r="K48" s="371" t="inlineStr">
        <is>
          <t>Yes</t>
        </is>
      </c>
      <c r="L48" s="371" t="inlineStr">
        <is>
          <t>Target</t>
        </is>
      </c>
      <c r="M48" s="371" t="n">
        <v>0</v>
      </c>
      <c r="N48" s="371" t="n">
        <v>0</v>
      </c>
      <c r="O48" s="371" t="inlineStr">
        <is>
          <t>Yes</t>
        </is>
      </c>
      <c r="P48" s="371" t="inlineStr">
        <is>
          <t>Every Year</t>
        </is>
      </c>
      <c r="Q48" s="371" t="inlineStr">
        <is>
          <t>Library Director</t>
        </is>
      </c>
      <c r="R48" s="371" t="n"/>
      <c r="S48" s="371" t="n"/>
      <c r="T48" s="371" t="n"/>
      <c r="U48" s="355">
        <f>IF(B48="","",IF(IF(D48&lt;&gt;"",D48,IFERROR(INDEX('Dashboard Items'!$B$2:$B$495,MATCH(E48,'Dashboard Items'!$A$2:$A$495,0)),""))="Key Service",IF(O48="No","Key Service: shown, not counted","Counts in Key Service gauge"),IF(IF(D48&lt;&gt;"",D48,IFERROR(INDEX('Dashboard Items'!$B$2:$B$495,MATCH(E48,'Dashboard Items'!$A$2:$A$495,0)),""))="Program",IF(ISNUMBER(SEARCH("ks",G48)),IF(O48="No","Program, also at Key Service: not counted","Counts in Key Service gauge + sets Program chip"),IF(O48="No","Program: shown, no status chip","Sets Program status chip")),IF(IF(D48&lt;&gt;"",D48,IFERROR(INDEX('Dashboard Items'!$B$2:$B$495,MATCH(E48,'Dashboard Items'!$A$2:$A$495,0)),""))="Work System","Work System: shown, not counted","Check Level"))))</f>
        <v/>
      </c>
    </row>
    <row r="49" ht="15" customFormat="1" customHeight="1" s="376">
      <c r="A49" s="371">
        <f>LEFT(B49, FIND("-", B49) - 1)</f>
        <v/>
      </c>
      <c r="B49" s="371" t="inlineStr">
        <is>
          <t>LIB-SOCIALENG</t>
        </is>
      </c>
      <c r="C49" s="372" t="inlineStr">
        <is>
          <t>Total social media user engagement</t>
        </is>
      </c>
      <c r="D49" s="371" t="inlineStr">
        <is>
          <t>Program</t>
        </is>
      </c>
      <c r="E49" s="371" t="inlineStr">
        <is>
          <t>p85</t>
        </is>
      </c>
      <c r="F49" s="373">
        <f>IF(E49="","",IFERROR(IF(INDEX('Dashboard Items'!$B$2:$B$495,MATCH(E49,'Dashboard Items'!$A$2:$A$495,0))="Objective","Objectives go in the next column",IF(OR(D49="",INDEX('Dashboard Items'!$B$2:$B$495,MATCH(E49,'Dashboard Items'!$A$2:$A$495,0))=D49),INDEX('Dashboard Items'!$C$2:$C$495,MATCH(E49,'Dashboard Items'!$A$2:$A$495,0)),"Level does not match ID")),"ID not found"))</f>
        <v/>
      </c>
      <c r="G49" s="374" t="n"/>
      <c r="H49" s="373">
        <f>IF(G49="","",IF(ISNUMBER(SEARCH(",",G49)),"Several items (the script lists them)",IFERROR(INDEX('Dashboard Items'!$B$2:$B$495,MATCH(G49,'Dashboard Items'!$A$2:$A$495,0))&amp;": "&amp;INDEX('Dashboard Items'!$C$2:$C$495,MATCH(G49,'Dashboard Items'!$A$2:$A$495,0)),"ID not found")))</f>
        <v/>
      </c>
      <c r="I49" s="371" t="inlineStr">
        <is>
          <t>number</t>
        </is>
      </c>
      <c r="J49" s="371" t="n">
        <v>2</v>
      </c>
      <c r="K49" s="371" t="inlineStr">
        <is>
          <t>Yes</t>
        </is>
      </c>
      <c r="L49" s="371" t="inlineStr">
        <is>
          <t>Target</t>
        </is>
      </c>
      <c r="M49" s="371" t="n">
        <v>0</v>
      </c>
      <c r="N49" s="371" t="n">
        <v>0</v>
      </c>
      <c r="O49" s="371" t="inlineStr">
        <is>
          <t>Yes</t>
        </is>
      </c>
      <c r="P49" s="371" t="inlineStr">
        <is>
          <t>Every Year</t>
        </is>
      </c>
      <c r="Q49" s="371" t="inlineStr">
        <is>
          <t>Library Director</t>
        </is>
      </c>
      <c r="R49" s="371" t="n"/>
      <c r="S49" s="371" t="n"/>
      <c r="T49" s="371" t="n"/>
      <c r="U49" s="355">
        <f>IF(B49="","",IF(IF(D49&lt;&gt;"",D49,IFERROR(INDEX('Dashboard Items'!$B$2:$B$495,MATCH(E49,'Dashboard Items'!$A$2:$A$495,0)),""))="Key Service",IF(O49="No","Key Service: shown, not counted","Counts in Key Service gauge"),IF(IF(D49&lt;&gt;"",D49,IFERROR(INDEX('Dashboard Items'!$B$2:$B$495,MATCH(E49,'Dashboard Items'!$A$2:$A$495,0)),""))="Program",IF(ISNUMBER(SEARCH("ks",G49)),IF(O49="No","Program, also at Key Service: not counted","Counts in Key Service gauge + sets Program chip"),IF(O49="No","Program: shown, no status chip","Sets Program status chip")),IF(IF(D49&lt;&gt;"",D49,IFERROR(INDEX('Dashboard Items'!$B$2:$B$495,MATCH(E49,'Dashboard Items'!$A$2:$A$495,0)),""))="Work System","Work System: shown, not counted","Check Level"))))</f>
        <v/>
      </c>
    </row>
    <row r="50" ht="15" customFormat="1" customHeight="1" s="376">
      <c r="A50" s="371">
        <f>LEFT(B50, FIND("-", B50) - 1)</f>
        <v/>
      </c>
      <c r="B50" s="371" t="inlineStr">
        <is>
          <t>LIB-VISITS</t>
        </is>
      </c>
      <c r="C50" s="372" t="inlineStr">
        <is>
          <t>Visitation</t>
        </is>
      </c>
      <c r="D50" s="371" t="inlineStr">
        <is>
          <t>Program</t>
        </is>
      </c>
      <c r="E50" s="371" t="inlineStr">
        <is>
          <t>p83</t>
        </is>
      </c>
      <c r="F50" s="373">
        <f>IF(E50="","",IFERROR(IF(INDEX('Dashboard Items'!$B$2:$B$495,MATCH(E50,'Dashboard Items'!$A$2:$A$495,0))="Objective","Objectives go in the next column",IF(OR(D50="",INDEX('Dashboard Items'!$B$2:$B$495,MATCH(E50,'Dashboard Items'!$A$2:$A$495,0))=D50),INDEX('Dashboard Items'!$C$2:$C$495,MATCH(E50,'Dashboard Items'!$A$2:$A$495,0)),"Level does not match ID")),"ID not found"))</f>
        <v/>
      </c>
      <c r="G50" s="374" t="inlineStr">
        <is>
          <t>ks17</t>
        </is>
      </c>
      <c r="H50" s="373">
        <f>IF(G50="","",IF(ISNUMBER(SEARCH(",",G50)),"Several items (the script lists them)",IFERROR(INDEX('Dashboard Items'!$B$2:$B$495,MATCH(G50,'Dashboard Items'!$A$2:$A$495,0))&amp;": "&amp;INDEX('Dashboard Items'!$C$2:$C$495,MATCH(G50,'Dashboard Items'!$A$2:$A$495,0)),"ID not found")))</f>
        <v/>
      </c>
      <c r="I50" s="371" t="inlineStr">
        <is>
          <t>number</t>
        </is>
      </c>
      <c r="J50" s="371" t="n">
        <v>0</v>
      </c>
      <c r="K50" s="371" t="inlineStr">
        <is>
          <t>Yes</t>
        </is>
      </c>
      <c r="L50" s="371" t="inlineStr">
        <is>
          <t>Target</t>
        </is>
      </c>
      <c r="M50" s="371" t="n">
        <v>0</v>
      </c>
      <c r="N50" s="371" t="n">
        <v>0</v>
      </c>
      <c r="O50" s="371" t="inlineStr">
        <is>
          <t>Yes</t>
        </is>
      </c>
      <c r="P50" s="371" t="inlineStr">
        <is>
          <t>Every Year</t>
        </is>
      </c>
      <c r="Q50" s="371" t="inlineStr">
        <is>
          <t>Library Director</t>
        </is>
      </c>
      <c r="R50" s="371" t="n"/>
      <c r="S50" s="371" t="n"/>
      <c r="T50" s="371" t="n"/>
      <c r="U50" s="355">
        <f>IF(B50="","",IF(IF(D50&lt;&gt;"",D50,IFERROR(INDEX('Dashboard Items'!$B$2:$B$495,MATCH(E50,'Dashboard Items'!$A$2:$A$495,0)),""))="Key Service",IF(O50="No","Key Service: shown, not counted","Counts in Key Service gauge"),IF(IF(D50&lt;&gt;"",D50,IFERROR(INDEX('Dashboard Items'!$B$2:$B$495,MATCH(E50,'Dashboard Items'!$A$2:$A$495,0)),""))="Program",IF(ISNUMBER(SEARCH("ks",G50)),IF(O50="No","Program, also at Key Service: not counted","Counts in Key Service gauge + sets Program chip"),IF(O50="No","Program: shown, no status chip","Sets Program status chip")),IF(IF(D50&lt;&gt;"",D50,IFERROR(INDEX('Dashboard Items'!$B$2:$B$495,MATCH(E50,'Dashboard Items'!$A$2:$A$495,0)),""))="Work System","Work System: shown, not counted","Check Level"))))</f>
        <v/>
      </c>
    </row>
    <row r="51" ht="15" customFormat="1" customHeight="1" s="376">
      <c r="A51" s="377">
        <f>LEFT(B51, FIND("-", B51) - 1)</f>
        <v/>
      </c>
      <c r="B51" s="378" t="inlineStr">
        <is>
          <t>PD-BGROUNDSVHIRED</t>
        </is>
      </c>
      <c r="C51" s="379" t="inlineStr">
        <is>
          <t>Backgrounds Completed vs people hired</t>
        </is>
      </c>
      <c r="D51" s="378" t="inlineStr">
        <is>
          <t>Program</t>
        </is>
      </c>
      <c r="E51" s="380" t="inlineStr">
        <is>
          <t>p102</t>
        </is>
      </c>
      <c r="F51" s="381">
        <f>IF(E51="","",IFERROR(IF(INDEX('Dashboard Items'!$B$2:$B$495,MATCH(E51,'Dashboard Items'!$A$2:$A$495,0))="Objective","Objectives go in the next column",IF(OR(D51="",INDEX('Dashboard Items'!$B$2:$B$495,MATCH(E51,'Dashboard Items'!$A$2:$A$495,0))=D51),INDEX('Dashboard Items'!$C$2:$C$495,MATCH(E51,'Dashboard Items'!$A$2:$A$495,0)),"Level does not match ID")),"ID not found"))</f>
        <v/>
      </c>
      <c r="G51" s="380" t="n"/>
      <c r="H51" s="381">
        <f>IF(G51="","",IF(ISNUMBER(SEARCH(",",G51)),"Several items (the script lists them)",IFERROR(INDEX('Dashboard Items'!$B$2:$B$495,MATCH(G51,'Dashboard Items'!$A$2:$A$495,0))&amp;": "&amp;INDEX('Dashboard Items'!$C$2:$C$495,MATCH(G51,'Dashboard Items'!$A$2:$A$495,0)),"ID not found")))</f>
        <v/>
      </c>
      <c r="I51" s="378" t="inlineStr">
        <is>
          <t>number</t>
        </is>
      </c>
      <c r="J51" s="378" t="n">
        <v>2</v>
      </c>
      <c r="K51" s="378" t="inlineStr">
        <is>
          <t>Yes</t>
        </is>
      </c>
      <c r="L51" s="378" t="inlineStr">
        <is>
          <t>Target</t>
        </is>
      </c>
      <c r="M51" s="378" t="n">
        <v>0</v>
      </c>
      <c r="N51" s="378" t="n">
        <v>0</v>
      </c>
      <c r="O51" s="378" t="inlineStr">
        <is>
          <t>Yes</t>
        </is>
      </c>
      <c r="P51" s="378" t="inlineStr">
        <is>
          <t>Every year</t>
        </is>
      </c>
      <c r="Q51" s="378" t="inlineStr">
        <is>
          <t>Chief of Police</t>
        </is>
      </c>
      <c r="R51" s="378" t="n"/>
      <c r="S51" s="378" t="n"/>
      <c r="T51" s="378" t="n"/>
      <c r="U51" s="355">
        <f>IF(B51="","",IF(IF(D51&lt;&gt;"",D51,IFERROR(INDEX('Dashboard Items'!$B$2:$B$495,MATCH(E51,'Dashboard Items'!$A$2:$A$495,0)),""))="Key Service",IF(O51="No","Key Service: shown, not counted","Counts in Key Service gauge"),IF(IF(D51&lt;&gt;"",D51,IFERROR(INDEX('Dashboard Items'!$B$2:$B$495,MATCH(E51,'Dashboard Items'!$A$2:$A$495,0)),""))="Program",IF(ISNUMBER(SEARCH("ks",G51)),IF(O51="No","Program, also at Key Service: not counted","Counts in Key Service gauge + sets Program chip"),IF(O51="No","Program: shown, no status chip","Sets Program status chip")),IF(IF(D51&lt;&gt;"",D51,IFERROR(INDEX('Dashboard Items'!$B$2:$B$495,MATCH(E51,'Dashboard Items'!$A$2:$A$495,0)),""))="Work System","Work System: shown, not counted","Check Level"))))</f>
        <v/>
      </c>
    </row>
    <row r="52" ht="15" customFormat="1" customHeight="1" s="376">
      <c r="A52" s="377">
        <f>LEFT(B52, FIND("-", B52) - 1)</f>
        <v/>
      </c>
      <c r="B52" s="378" t="inlineStr">
        <is>
          <t>PD-CALLVOLUME</t>
        </is>
      </c>
      <c r="C52" s="379" t="inlineStr">
        <is>
          <t xml:space="preserve">Call volume - officer initiated vs citizen initiated </t>
        </is>
      </c>
      <c r="D52" s="378" t="inlineStr">
        <is>
          <t>Key Service</t>
        </is>
      </c>
      <c r="E52" s="378" t="inlineStr">
        <is>
          <t>ks11</t>
        </is>
      </c>
      <c r="F52" s="381">
        <f>IF(E52="","",IFERROR(IF(INDEX('Dashboard Items'!$B$2:$B$495,MATCH(E52,'Dashboard Items'!$A$2:$A$495,0))="Objective","Objectives go in the next column",IF(OR(D52="",INDEX('Dashboard Items'!$B$2:$B$495,MATCH(E52,'Dashboard Items'!$A$2:$A$495,0))=D52),INDEX('Dashboard Items'!$C$2:$C$495,MATCH(E52,'Dashboard Items'!$A$2:$A$495,0)),"Level does not match ID")),"ID not found"))</f>
        <v/>
      </c>
      <c r="G52" s="380" t="n"/>
      <c r="H52" s="381">
        <f>IF(G52="","",IF(ISNUMBER(SEARCH(",",G52)),"Several items (the script lists them)",IFERROR(INDEX('Dashboard Items'!$B$2:$B$495,MATCH(G52,'Dashboard Items'!$A$2:$A$495,0))&amp;": "&amp;INDEX('Dashboard Items'!$C$2:$C$495,MATCH(G52,'Dashboard Items'!$A$2:$A$495,0)),"ID not found")))</f>
        <v/>
      </c>
      <c r="I52" s="378" t="inlineStr">
        <is>
          <t>number</t>
        </is>
      </c>
      <c r="J52" s="378" t="n">
        <v>2</v>
      </c>
      <c r="K52" s="378" t="inlineStr">
        <is>
          <t>Yes</t>
        </is>
      </c>
      <c r="L52" s="378" t="inlineStr">
        <is>
          <t>Target</t>
        </is>
      </c>
      <c r="M52" s="378" t="n">
        <v>0</v>
      </c>
      <c r="N52" s="378" t="n">
        <v>0</v>
      </c>
      <c r="O52" s="378" t="inlineStr">
        <is>
          <t>Yes</t>
        </is>
      </c>
      <c r="P52" s="378" t="inlineStr">
        <is>
          <t>Every year</t>
        </is>
      </c>
      <c r="Q52" s="378" t="inlineStr">
        <is>
          <t>Chief of Police</t>
        </is>
      </c>
      <c r="R52" s="378" t="n"/>
      <c r="S52" s="378" t="n"/>
      <c r="T52" s="378" t="n"/>
      <c r="U52" s="355">
        <f>IF(B52="","",IF(IF(D52&lt;&gt;"",D52,IFERROR(INDEX('Dashboard Items'!$B$2:$B$495,MATCH(E52,'Dashboard Items'!$A$2:$A$495,0)),""))="Key Service",IF(O52="No","Key Service: shown, not counted","Counts in Key Service gauge"),IF(IF(D52&lt;&gt;"",D52,IFERROR(INDEX('Dashboard Items'!$B$2:$B$495,MATCH(E52,'Dashboard Items'!$A$2:$A$495,0)),""))="Program",IF(ISNUMBER(SEARCH("ks",G52)),IF(O52="No","Program, also at Key Service: not counted","Counts in Key Service gauge + sets Program chip"),IF(O52="No","Program: shown, no status chip","Sets Program status chip")),IF(IF(D52&lt;&gt;"",D52,IFERROR(INDEX('Dashboard Items'!$B$2:$B$495,MATCH(E52,'Dashboard Items'!$A$2:$A$495,0)),""))="Work System","Work System: shown, not counted","Check Level"))))</f>
        <v/>
      </c>
    </row>
    <row r="53" ht="15" customFormat="1" customHeight="1" s="376">
      <c r="A53" s="377">
        <f>LEFT(B53, FIND("-", B53) - 1)</f>
        <v/>
      </c>
      <c r="B53" s="378" t="inlineStr">
        <is>
          <t>PD-CASECLOSURERATE</t>
        </is>
      </c>
      <c r="C53" s="379" t="inlineStr">
        <is>
          <t>Case Closure Rate by clearance code (cleared by arrest, inactive, etc.) - solvability percent - amount that ended in arrest vs the rest</t>
        </is>
      </c>
      <c r="D53" s="378" t="inlineStr">
        <is>
          <t>Program</t>
        </is>
      </c>
      <c r="E53" s="380" t="inlineStr">
        <is>
          <t>p102</t>
        </is>
      </c>
      <c r="F53" s="381">
        <f>IF(E53="","",IFERROR(IF(INDEX('Dashboard Items'!$B$2:$B$495,MATCH(E53,'Dashboard Items'!$A$2:$A$495,0))="Objective","Objectives go in the next column",IF(OR(D53="",INDEX('Dashboard Items'!$B$2:$B$495,MATCH(E53,'Dashboard Items'!$A$2:$A$495,0))=D53),INDEX('Dashboard Items'!$C$2:$C$495,MATCH(E53,'Dashboard Items'!$A$2:$A$495,0)),"Level does not match ID")),"ID not found"))</f>
        <v/>
      </c>
      <c r="G53" s="380" t="inlineStr">
        <is>
          <t>p50</t>
        </is>
      </c>
      <c r="H53" s="381">
        <f>IF(G53="","",IF(ISNUMBER(SEARCH(",",G53)),"Several items (the script lists them)",IFERROR(INDEX('Dashboard Items'!$B$2:$B$495,MATCH(G53,'Dashboard Items'!$A$2:$A$495,0))&amp;": "&amp;INDEX('Dashboard Items'!$C$2:$C$495,MATCH(G53,'Dashboard Items'!$A$2:$A$495,0)),"ID not found")))</f>
        <v/>
      </c>
      <c r="I53" s="378" t="inlineStr">
        <is>
          <t>number</t>
        </is>
      </c>
      <c r="J53" s="378" t="n">
        <v>2</v>
      </c>
      <c r="K53" s="378" t="inlineStr">
        <is>
          <t>Yes</t>
        </is>
      </c>
      <c r="L53" s="378" t="inlineStr">
        <is>
          <t>Target</t>
        </is>
      </c>
      <c r="M53" s="378" t="n">
        <v>0</v>
      </c>
      <c r="N53" s="378" t="n">
        <v>0</v>
      </c>
      <c r="O53" s="378" t="inlineStr">
        <is>
          <t>Yes</t>
        </is>
      </c>
      <c r="P53" s="378" t="inlineStr">
        <is>
          <t>Every year</t>
        </is>
      </c>
      <c r="Q53" s="378" t="inlineStr">
        <is>
          <t>Chief of Police</t>
        </is>
      </c>
      <c r="R53" s="378" t="n"/>
      <c r="S53" s="378" t="n"/>
      <c r="T53" s="378" t="n"/>
      <c r="U53" s="355">
        <f>IF(B53="","",IF(IF(D53&lt;&gt;"",D53,IFERROR(INDEX('Dashboard Items'!$B$2:$B$495,MATCH(E53,'Dashboard Items'!$A$2:$A$495,0)),""))="Key Service",IF(O53="No","Key Service: shown, not counted","Counts in Key Service gauge"),IF(IF(D53&lt;&gt;"",D53,IFERROR(INDEX('Dashboard Items'!$B$2:$B$495,MATCH(E53,'Dashboard Items'!$A$2:$A$495,0)),""))="Program",IF(ISNUMBER(SEARCH("ks",G53)),IF(O53="No","Program, also at Key Service: not counted","Counts in Key Service gauge + sets Program chip"),IF(O53="No","Program: shown, no status chip","Sets Program status chip")),IF(IF(D53&lt;&gt;"",D53,IFERROR(INDEX('Dashboard Items'!$B$2:$B$495,MATCH(E53,'Dashboard Items'!$A$2:$A$495,0)),""))="Work System","Work System: shown, not counted","Check Level"))))</f>
        <v/>
      </c>
    </row>
    <row r="54" ht="15" customFormat="1" customHeight="1" s="376">
      <c r="A54" s="377">
        <f>LEFT(B54, FIND("-", B54) - 1)</f>
        <v/>
      </c>
      <c r="B54" s="378" t="inlineStr">
        <is>
          <t>PD-CASESPROCESSED</t>
        </is>
      </c>
      <c r="C54" s="379" t="inlineStr">
        <is>
          <t>Cases/Records Processed trending (can compare to calls for service)</t>
        </is>
      </c>
      <c r="D54" s="378" t="inlineStr">
        <is>
          <t>Program</t>
        </is>
      </c>
      <c r="E54" s="380" t="inlineStr">
        <is>
          <t>p102</t>
        </is>
      </c>
      <c r="F54" s="381">
        <f>IF(E54="","",IFERROR(IF(INDEX('Dashboard Items'!$B$2:$B$495,MATCH(E54,'Dashboard Items'!$A$2:$A$495,0))="Objective","Objectives go in the next column",IF(OR(D54="",INDEX('Dashboard Items'!$B$2:$B$495,MATCH(E54,'Dashboard Items'!$A$2:$A$495,0))=D54),INDEX('Dashboard Items'!$C$2:$C$495,MATCH(E54,'Dashboard Items'!$A$2:$A$495,0)),"Level does not match ID")),"ID not found"))</f>
        <v/>
      </c>
      <c r="G54" s="380" t="n"/>
      <c r="H54" s="381">
        <f>IF(G54="","",IF(ISNUMBER(SEARCH(",",G54)),"Several items (the script lists them)",IFERROR(INDEX('Dashboard Items'!$B$2:$B$495,MATCH(G54,'Dashboard Items'!$A$2:$A$495,0))&amp;": "&amp;INDEX('Dashboard Items'!$C$2:$C$495,MATCH(G54,'Dashboard Items'!$A$2:$A$495,0)),"ID not found")))</f>
        <v/>
      </c>
      <c r="I54" s="378" t="inlineStr">
        <is>
          <t>number</t>
        </is>
      </c>
      <c r="J54" s="378" t="n">
        <v>2</v>
      </c>
      <c r="K54" s="378" t="inlineStr">
        <is>
          <t>Yes</t>
        </is>
      </c>
      <c r="L54" s="378" t="inlineStr">
        <is>
          <t>Target</t>
        </is>
      </c>
      <c r="M54" s="378" t="n">
        <v>0</v>
      </c>
      <c r="N54" s="378" t="n">
        <v>0</v>
      </c>
      <c r="O54" s="378" t="inlineStr">
        <is>
          <t>Yes</t>
        </is>
      </c>
      <c r="P54" s="378" t="inlineStr">
        <is>
          <t>Every year</t>
        </is>
      </c>
      <c r="Q54" s="378" t="inlineStr">
        <is>
          <t>Chief of Police</t>
        </is>
      </c>
      <c r="R54" s="378" t="n"/>
      <c r="S54" s="378" t="n"/>
      <c r="T54" s="378" t="n"/>
      <c r="U54" s="355">
        <f>IF(B54="","",IF(IF(D54&lt;&gt;"",D54,IFERROR(INDEX('Dashboard Items'!$B$2:$B$495,MATCH(E54,'Dashboard Items'!$A$2:$A$495,0)),""))="Key Service",IF(O54="No","Key Service: shown, not counted","Counts in Key Service gauge"),IF(IF(D54&lt;&gt;"",D54,IFERROR(INDEX('Dashboard Items'!$B$2:$B$495,MATCH(E54,'Dashboard Items'!$A$2:$A$495,0)),""))="Program",IF(ISNUMBER(SEARCH("ks",G54)),IF(O54="No","Program, also at Key Service: not counted","Counts in Key Service gauge + sets Program chip"),IF(O54="No","Program: shown, no status chip","Sets Program status chip")),IF(IF(D54&lt;&gt;"",D54,IFERROR(INDEX('Dashboard Items'!$B$2:$B$495,MATCH(E54,'Dashboard Items'!$A$2:$A$495,0)),""))="Work System","Work System: shown, not counted","Check Level"))))</f>
        <v/>
      </c>
    </row>
    <row r="55" ht="15" customFormat="1" customHeight="1" s="376">
      <c r="A55" s="377">
        <f>LEFT(B55, FIND("-", B55) - 1)</f>
        <v/>
      </c>
      <c r="B55" s="378" t="inlineStr">
        <is>
          <t>PD-CITATIONS</t>
        </is>
      </c>
      <c r="C55" s="379" t="inlineStr">
        <is>
          <t>Citations Issued by kind (brings down number of incidents, traffic accidents, etc.)</t>
        </is>
      </c>
      <c r="D55" s="378" t="inlineStr">
        <is>
          <t>Program</t>
        </is>
      </c>
      <c r="E55" s="378" t="inlineStr">
        <is>
          <t>p51</t>
        </is>
      </c>
      <c r="F55" s="381">
        <f>IF(E55="","",IFERROR(IF(INDEX('Dashboard Items'!$B$2:$B$495,MATCH(E55,'Dashboard Items'!$A$2:$A$495,0))="Objective","Objectives go in the next column",IF(OR(D55="",INDEX('Dashboard Items'!$B$2:$B$495,MATCH(E55,'Dashboard Items'!$A$2:$A$495,0))=D55),INDEX('Dashboard Items'!$C$2:$C$495,MATCH(E55,'Dashboard Items'!$A$2:$A$495,0)),"Level does not match ID")),"ID not found"))</f>
        <v/>
      </c>
      <c r="G55" s="380" t="n"/>
      <c r="H55" s="381">
        <f>IF(G55="","",IF(ISNUMBER(SEARCH(",",G55)),"Several items (the script lists them)",IFERROR(INDEX('Dashboard Items'!$B$2:$B$495,MATCH(G55,'Dashboard Items'!$A$2:$A$495,0))&amp;": "&amp;INDEX('Dashboard Items'!$C$2:$C$495,MATCH(G55,'Dashboard Items'!$A$2:$A$495,0)),"ID not found")))</f>
        <v/>
      </c>
      <c r="I55" s="378" t="inlineStr">
        <is>
          <t>number</t>
        </is>
      </c>
      <c r="J55" s="378" t="n">
        <v>2</v>
      </c>
      <c r="K55" s="378" t="inlineStr">
        <is>
          <t>Yes</t>
        </is>
      </c>
      <c r="L55" s="378" t="inlineStr">
        <is>
          <t>Target</t>
        </is>
      </c>
      <c r="M55" s="378" t="n">
        <v>0</v>
      </c>
      <c r="N55" s="378" t="n">
        <v>0</v>
      </c>
      <c r="O55" s="378" t="inlineStr">
        <is>
          <t>Yes</t>
        </is>
      </c>
      <c r="P55" s="378" t="inlineStr">
        <is>
          <t>Every year</t>
        </is>
      </c>
      <c r="Q55" s="378" t="inlineStr">
        <is>
          <t>Chief of Police</t>
        </is>
      </c>
      <c r="R55" s="378" t="n"/>
      <c r="S55" s="378" t="n"/>
      <c r="T55" s="378" t="n"/>
      <c r="U55" s="355">
        <f>IF(B55="","",IF(IF(D55&lt;&gt;"",D55,IFERROR(INDEX('Dashboard Items'!$B$2:$B$495,MATCH(E55,'Dashboard Items'!$A$2:$A$495,0)),""))="Key Service",IF(O55="No","Key Service: shown, not counted","Counts in Key Service gauge"),IF(IF(D55&lt;&gt;"",D55,IFERROR(INDEX('Dashboard Items'!$B$2:$B$495,MATCH(E55,'Dashboard Items'!$A$2:$A$495,0)),""))="Program",IF(ISNUMBER(SEARCH("ks",G55)),IF(O55="No","Program, also at Key Service: not counted","Counts in Key Service gauge + sets Program chip"),IF(O55="No","Program: shown, no status chip","Sets Program status chip")),IF(IF(D55&lt;&gt;"",D55,IFERROR(INDEX('Dashboard Items'!$B$2:$B$495,MATCH(E55,'Dashboard Items'!$A$2:$A$495,0)),""))="Work System","Work System: shown, not counted","Check Level"))))</f>
        <v/>
      </c>
    </row>
    <row r="56" ht="15" customFormat="1" customHeight="1" s="376">
      <c r="A56" s="377">
        <f>LEFT(B56, FIND("-", B56) - 1)</f>
        <v/>
      </c>
      <c r="B56" s="378" t="inlineStr">
        <is>
          <t>PD-COMPLAINTS</t>
        </is>
      </c>
      <c r="C56" s="379" t="inlineStr">
        <is>
          <t>Complaints (dog off leash in certain parks, ART, e-bikes, etc.)</t>
        </is>
      </c>
      <c r="D56" s="378" t="inlineStr">
        <is>
          <t>Program</t>
        </is>
      </c>
      <c r="E56" s="378" t="inlineStr">
        <is>
          <t>p51</t>
        </is>
      </c>
      <c r="F56" s="381">
        <f>IF(E56="","",IFERROR(IF(INDEX('Dashboard Items'!$B$2:$B$495,MATCH(E56,'Dashboard Items'!$A$2:$A$495,0))="Objective","Objectives go in the next column",IF(OR(D56="",INDEX('Dashboard Items'!$B$2:$B$495,MATCH(E56,'Dashboard Items'!$A$2:$A$495,0))=D56),INDEX('Dashboard Items'!$C$2:$C$495,MATCH(E56,'Dashboard Items'!$A$2:$A$495,0)),"Level does not match ID")),"ID not found"))</f>
        <v/>
      </c>
      <c r="G56" s="380" t="n"/>
      <c r="H56" s="381">
        <f>IF(G56="","",IF(ISNUMBER(SEARCH(",",G56)),"Several items (the script lists them)",IFERROR(INDEX('Dashboard Items'!$B$2:$B$495,MATCH(G56,'Dashboard Items'!$A$2:$A$495,0))&amp;": "&amp;INDEX('Dashboard Items'!$C$2:$C$495,MATCH(G56,'Dashboard Items'!$A$2:$A$495,0)),"ID not found")))</f>
        <v/>
      </c>
      <c r="I56" s="378" t="inlineStr">
        <is>
          <t>number</t>
        </is>
      </c>
      <c r="J56" s="378" t="n">
        <v>2</v>
      </c>
      <c r="K56" s="378" t="inlineStr">
        <is>
          <t>Yes</t>
        </is>
      </c>
      <c r="L56" s="378" t="inlineStr">
        <is>
          <t>Target</t>
        </is>
      </c>
      <c r="M56" s="378" t="n">
        <v>0</v>
      </c>
      <c r="N56" s="378" t="n">
        <v>0</v>
      </c>
      <c r="O56" s="378" t="inlineStr">
        <is>
          <t>Yes</t>
        </is>
      </c>
      <c r="P56" s="378" t="inlineStr">
        <is>
          <t>Every year</t>
        </is>
      </c>
      <c r="Q56" s="378" t="inlineStr">
        <is>
          <t>Chief of Police</t>
        </is>
      </c>
      <c r="R56" s="378" t="n"/>
      <c r="S56" s="378" t="n"/>
      <c r="T56" s="378" t="n"/>
      <c r="U56" s="355">
        <f>IF(B56="","",IF(IF(D56&lt;&gt;"",D56,IFERROR(INDEX('Dashboard Items'!$B$2:$B$495,MATCH(E56,'Dashboard Items'!$A$2:$A$495,0)),""))="Key Service",IF(O56="No","Key Service: shown, not counted","Counts in Key Service gauge"),IF(IF(D56&lt;&gt;"",D56,IFERROR(INDEX('Dashboard Items'!$B$2:$B$495,MATCH(E56,'Dashboard Items'!$A$2:$A$495,0)),""))="Program",IF(ISNUMBER(SEARCH("ks",G56)),IF(O56="No","Program, also at Key Service: not counted","Counts in Key Service gauge + sets Program chip"),IF(O56="No","Program: shown, no status chip","Sets Program status chip")),IF(IF(D56&lt;&gt;"",D56,IFERROR(INDEX('Dashboard Items'!$B$2:$B$495,MATCH(E56,'Dashboard Items'!$A$2:$A$495,0)),""))="Work System","Work System: shown, not counted","Check Level"))))</f>
        <v/>
      </c>
    </row>
    <row r="57" ht="15" customFormat="1" customHeight="1" s="376">
      <c r="A57" s="377">
        <f>LEFT(B57, FIND("-", B57) - 1)</f>
        <v/>
      </c>
      <c r="B57" s="378" t="inlineStr">
        <is>
          <t>PD-CORAREQEUESTS</t>
        </is>
      </c>
      <c r="C57" s="379" t="inlineStr">
        <is>
          <t>CORA Requests Processed within specified time frame - PD specific</t>
        </is>
      </c>
      <c r="D57" s="378" t="inlineStr">
        <is>
          <t>Program</t>
        </is>
      </c>
      <c r="E57" s="380" t="inlineStr">
        <is>
          <t>p102</t>
        </is>
      </c>
      <c r="F57" s="381">
        <f>IF(E57="","",IFERROR(IF(INDEX('Dashboard Items'!$B$2:$B$495,MATCH(E57,'Dashboard Items'!$A$2:$A$495,0))="Objective","Objectives go in the next column",IF(OR(D57="",INDEX('Dashboard Items'!$B$2:$B$495,MATCH(E57,'Dashboard Items'!$A$2:$A$495,0))=D57),INDEX('Dashboard Items'!$C$2:$C$495,MATCH(E57,'Dashboard Items'!$A$2:$A$495,0)),"Level does not match ID")),"ID not found"))</f>
        <v/>
      </c>
      <c r="G57" s="380" t="n"/>
      <c r="H57" s="381">
        <f>IF(G57="","",IF(ISNUMBER(SEARCH(",",G57)),"Several items (the script lists them)",IFERROR(INDEX('Dashboard Items'!$B$2:$B$495,MATCH(G57,'Dashboard Items'!$A$2:$A$495,0))&amp;": "&amp;INDEX('Dashboard Items'!$C$2:$C$495,MATCH(G57,'Dashboard Items'!$A$2:$A$495,0)),"ID not found")))</f>
        <v/>
      </c>
      <c r="I57" s="378" t="inlineStr">
        <is>
          <t>number</t>
        </is>
      </c>
      <c r="J57" s="378" t="n">
        <v>2</v>
      </c>
      <c r="K57" s="378" t="inlineStr">
        <is>
          <t>Yes</t>
        </is>
      </c>
      <c r="L57" s="378" t="inlineStr">
        <is>
          <t>Target</t>
        </is>
      </c>
      <c r="M57" s="378" t="n">
        <v>0</v>
      </c>
      <c r="N57" s="378" t="n">
        <v>0</v>
      </c>
      <c r="O57" s="378" t="inlineStr">
        <is>
          <t>Yes</t>
        </is>
      </c>
      <c r="P57" s="378" t="inlineStr">
        <is>
          <t>Every year</t>
        </is>
      </c>
      <c r="Q57" s="378" t="inlineStr">
        <is>
          <t>Chief of Police</t>
        </is>
      </c>
      <c r="R57" s="378" t="n"/>
      <c r="S57" s="378" t="n"/>
      <c r="T57" s="378" t="n"/>
      <c r="U57" s="355">
        <f>IF(B57="","",IF(IF(D57&lt;&gt;"",D57,IFERROR(INDEX('Dashboard Items'!$B$2:$B$495,MATCH(E57,'Dashboard Items'!$A$2:$A$495,0)),""))="Key Service",IF(O57="No","Key Service: shown, not counted","Counts in Key Service gauge"),IF(IF(D57&lt;&gt;"",D57,IFERROR(INDEX('Dashboard Items'!$B$2:$B$495,MATCH(E57,'Dashboard Items'!$A$2:$A$495,0)),""))="Program",IF(ISNUMBER(SEARCH("ks",G57)),IF(O57="No","Program, also at Key Service: not counted","Counts in Key Service gauge + sets Program chip"),IF(O57="No","Program: shown, no status chip","Sets Program status chip")),IF(IF(D57&lt;&gt;"",D57,IFERROR(INDEX('Dashboard Items'!$B$2:$B$495,MATCH(E57,'Dashboard Items'!$A$2:$A$495,0)),""))="Work System","Work System: shown, not counted","Check Level"))))</f>
        <v/>
      </c>
    </row>
    <row r="58" ht="15" customFormat="1" customHeight="1" s="376">
      <c r="A58" s="377">
        <f>LEFT(B58, FIND("-", B58) - 1)</f>
        <v/>
      </c>
      <c r="B58" s="378" t="inlineStr">
        <is>
          <t>PD-CORECASES</t>
        </is>
      </c>
      <c r="C58" s="379" t="inlineStr">
        <is>
          <t>Total cases (CORE)</t>
        </is>
      </c>
      <c r="D58" s="378" t="inlineStr">
        <is>
          <t>Program</t>
        </is>
      </c>
      <c r="E58" s="378" t="inlineStr">
        <is>
          <t>p51</t>
        </is>
      </c>
      <c r="F58" s="381">
        <f>IF(E58="","",IFERROR(IF(INDEX('Dashboard Items'!$B$2:$B$495,MATCH(E58,'Dashboard Items'!$A$2:$A$495,0))="Objective","Objectives go in the next column",IF(OR(D58="",INDEX('Dashboard Items'!$B$2:$B$495,MATCH(E58,'Dashboard Items'!$A$2:$A$495,0))=D58),INDEX('Dashboard Items'!$C$2:$C$495,MATCH(E58,'Dashboard Items'!$A$2:$A$495,0)),"Level does not match ID")),"ID not found"))</f>
        <v/>
      </c>
      <c r="G58" s="380" t="n"/>
      <c r="H58" s="381">
        <f>IF(G58="","",IF(ISNUMBER(SEARCH(",",G58)),"Several items (the script lists them)",IFERROR(INDEX('Dashboard Items'!$B$2:$B$495,MATCH(G58,'Dashboard Items'!$A$2:$A$495,0))&amp;": "&amp;INDEX('Dashboard Items'!$C$2:$C$495,MATCH(G58,'Dashboard Items'!$A$2:$A$495,0)),"ID not found")))</f>
        <v/>
      </c>
      <c r="I58" s="378" t="inlineStr">
        <is>
          <t>number</t>
        </is>
      </c>
      <c r="J58" s="378" t="n">
        <v>2</v>
      </c>
      <c r="K58" s="378" t="inlineStr">
        <is>
          <t>Yes</t>
        </is>
      </c>
      <c r="L58" s="378" t="inlineStr">
        <is>
          <t>Target</t>
        </is>
      </c>
      <c r="M58" s="378" t="n">
        <v>0</v>
      </c>
      <c r="N58" s="378" t="n">
        <v>0</v>
      </c>
      <c r="O58" s="378" t="inlineStr">
        <is>
          <t>Yes</t>
        </is>
      </c>
      <c r="P58" s="378" t="inlineStr">
        <is>
          <t>Every year</t>
        </is>
      </c>
      <c r="Q58" s="378" t="inlineStr">
        <is>
          <t>Chief of Police</t>
        </is>
      </c>
      <c r="R58" s="378" t="n"/>
      <c r="S58" s="378" t="n"/>
      <c r="T58" s="378" t="n"/>
      <c r="U58" s="355">
        <f>IF(B58="","",IF(IF(D58&lt;&gt;"",D58,IFERROR(INDEX('Dashboard Items'!$B$2:$B$495,MATCH(E58,'Dashboard Items'!$A$2:$A$495,0)),""))="Key Service",IF(O58="No","Key Service: shown, not counted","Counts in Key Service gauge"),IF(IF(D58&lt;&gt;"",D58,IFERROR(INDEX('Dashboard Items'!$B$2:$B$495,MATCH(E58,'Dashboard Items'!$A$2:$A$495,0)),""))="Program",IF(ISNUMBER(SEARCH("ks",G58)),IF(O58="No","Program, also at Key Service: not counted","Counts in Key Service gauge + sets Program chip"),IF(O58="No","Program: shown, no status chip","Sets Program status chip")),IF(IF(D58&lt;&gt;"",D58,IFERROR(INDEX('Dashboard Items'!$B$2:$B$495,MATCH(E58,'Dashboard Items'!$A$2:$A$495,0)),""))="Work System","Work System: shown, not counted","Check Level"))))</f>
        <v/>
      </c>
    </row>
    <row r="59" ht="15" customFormat="1" customHeight="1" s="376">
      <c r="A59" s="377">
        <f>LEFT(B59, FIND("-", B59) - 1)</f>
        <v/>
      </c>
      <c r="B59" s="378" t="inlineStr">
        <is>
          <t>PD-CRIMECLEARANCE</t>
        </is>
      </c>
      <c r="C59" s="379" t="inlineStr">
        <is>
          <t xml:space="preserve">Crime clearance rate - solvability by type. ticket, arrest, transfer out, etc. </t>
        </is>
      </c>
      <c r="D59" s="378" t="inlineStr">
        <is>
          <t>Key Service</t>
        </is>
      </c>
      <c r="E59" s="378" t="inlineStr">
        <is>
          <t>ks11</t>
        </is>
      </c>
      <c r="F59" s="381">
        <f>IF(E59="","",IFERROR(IF(INDEX('Dashboard Items'!$B$2:$B$495,MATCH(E59,'Dashboard Items'!$A$2:$A$495,0))="Objective","Objectives go in the next column",IF(OR(D59="",INDEX('Dashboard Items'!$B$2:$B$495,MATCH(E59,'Dashboard Items'!$A$2:$A$495,0))=D59),INDEX('Dashboard Items'!$C$2:$C$495,MATCH(E59,'Dashboard Items'!$A$2:$A$495,0)),"Level does not match ID")),"ID not found"))</f>
        <v/>
      </c>
      <c r="G59" s="380" t="n"/>
      <c r="H59" s="381">
        <f>IF(G59="","",IF(ISNUMBER(SEARCH(",",G59)),"Several items (the script lists them)",IFERROR(INDEX('Dashboard Items'!$B$2:$B$495,MATCH(G59,'Dashboard Items'!$A$2:$A$495,0))&amp;": "&amp;INDEX('Dashboard Items'!$C$2:$C$495,MATCH(G59,'Dashboard Items'!$A$2:$A$495,0)),"ID not found")))</f>
        <v/>
      </c>
      <c r="I59" s="378" t="inlineStr">
        <is>
          <t>number</t>
        </is>
      </c>
      <c r="J59" s="378" t="n">
        <v>2</v>
      </c>
      <c r="K59" s="378" t="inlineStr">
        <is>
          <t>Yes</t>
        </is>
      </c>
      <c r="L59" s="378" t="inlineStr">
        <is>
          <t>Target</t>
        </is>
      </c>
      <c r="M59" s="378" t="n">
        <v>0</v>
      </c>
      <c r="N59" s="378" t="n">
        <v>0</v>
      </c>
      <c r="O59" s="378" t="inlineStr">
        <is>
          <t>Yes</t>
        </is>
      </c>
      <c r="P59" s="378" t="inlineStr">
        <is>
          <t>Every year</t>
        </is>
      </c>
      <c r="Q59" s="378" t="inlineStr">
        <is>
          <t>Chief of Police</t>
        </is>
      </c>
      <c r="R59" s="378" t="n"/>
      <c r="S59" s="378" t="n"/>
      <c r="T59" s="378" t="n"/>
      <c r="U59" s="355">
        <f>IF(B59="","",IF(IF(D59&lt;&gt;"",D59,IFERROR(INDEX('Dashboard Items'!$B$2:$B$495,MATCH(E59,'Dashboard Items'!$A$2:$A$495,0)),""))="Key Service",IF(O59="No","Key Service: shown, not counted","Counts in Key Service gauge"),IF(IF(D59&lt;&gt;"",D59,IFERROR(INDEX('Dashboard Items'!$B$2:$B$495,MATCH(E59,'Dashboard Items'!$A$2:$A$495,0)),""))="Program",IF(ISNUMBER(SEARCH("ks",G59)),IF(O59="No","Program, also at Key Service: not counted","Counts in Key Service gauge + sets Program chip"),IF(O59="No","Program: shown, no status chip","Sets Program status chip")),IF(IF(D59&lt;&gt;"",D59,IFERROR(INDEX('Dashboard Items'!$B$2:$B$495,MATCH(E59,'Dashboard Items'!$A$2:$A$495,0)),""))="Work System","Work System: shown, not counted","Check Level"))))</f>
        <v/>
      </c>
    </row>
    <row r="60" ht="15" customFormat="1" customHeight="1" s="376">
      <c r="A60" s="377">
        <f>LEFT(B60, FIND("-", B60) - 1)</f>
        <v/>
      </c>
      <c r="B60" s="378" t="inlineStr">
        <is>
          <t>PD-DIGITALFORENSICS</t>
        </is>
      </c>
      <c r="C60" s="379" t="inlineStr">
        <is>
          <t>Digital forensics processing (internal and external) - includes devices for other agencies</t>
        </is>
      </c>
      <c r="D60" s="378" t="inlineStr">
        <is>
          <t>Program</t>
        </is>
      </c>
      <c r="E60" s="380" t="inlineStr">
        <is>
          <t>p102</t>
        </is>
      </c>
      <c r="F60" s="381">
        <f>IF(E60="","",IFERROR(IF(INDEX('Dashboard Items'!$B$2:$B$495,MATCH(E60,'Dashboard Items'!$A$2:$A$495,0))="Objective","Objectives go in the next column",IF(OR(D60="",INDEX('Dashboard Items'!$B$2:$B$495,MATCH(E60,'Dashboard Items'!$A$2:$A$495,0))=D60),INDEX('Dashboard Items'!$C$2:$C$495,MATCH(E60,'Dashboard Items'!$A$2:$A$495,0)),"Level does not match ID")),"ID not found"))</f>
        <v/>
      </c>
      <c r="G60" s="380" t="inlineStr">
        <is>
          <t>p50</t>
        </is>
      </c>
      <c r="H60" s="381">
        <f>IF(G60="","",IF(ISNUMBER(SEARCH(",",G60)),"Several items (the script lists them)",IFERROR(INDEX('Dashboard Items'!$B$2:$B$495,MATCH(G60,'Dashboard Items'!$A$2:$A$495,0))&amp;": "&amp;INDEX('Dashboard Items'!$C$2:$C$495,MATCH(G60,'Dashboard Items'!$A$2:$A$495,0)),"ID not found")))</f>
        <v/>
      </c>
      <c r="I60" s="378" t="inlineStr">
        <is>
          <t>number</t>
        </is>
      </c>
      <c r="J60" s="378" t="n">
        <v>2</v>
      </c>
      <c r="K60" s="378" t="inlineStr">
        <is>
          <t>Yes</t>
        </is>
      </c>
      <c r="L60" s="378" t="inlineStr">
        <is>
          <t>Target</t>
        </is>
      </c>
      <c r="M60" s="378" t="n">
        <v>0</v>
      </c>
      <c r="N60" s="378" t="n">
        <v>0</v>
      </c>
      <c r="O60" s="378" t="inlineStr">
        <is>
          <t>Yes</t>
        </is>
      </c>
      <c r="P60" s="378" t="inlineStr">
        <is>
          <t>Every year</t>
        </is>
      </c>
      <c r="Q60" s="378" t="inlineStr">
        <is>
          <t>Chief of Police</t>
        </is>
      </c>
      <c r="R60" s="378" t="n"/>
      <c r="S60" s="378" t="n"/>
      <c r="T60" s="378" t="n"/>
      <c r="U60" s="355">
        <f>IF(B60="","",IF(IF(D60&lt;&gt;"",D60,IFERROR(INDEX('Dashboard Items'!$B$2:$B$495,MATCH(E60,'Dashboard Items'!$A$2:$A$495,0)),""))="Key Service",IF(O60="No","Key Service: shown, not counted","Counts in Key Service gauge"),IF(IF(D60&lt;&gt;"",D60,IFERROR(INDEX('Dashboard Items'!$B$2:$B$495,MATCH(E60,'Dashboard Items'!$A$2:$A$495,0)),""))="Program",IF(ISNUMBER(SEARCH("ks",G60)),IF(O60="No","Program, also at Key Service: not counted","Counts in Key Service gauge + sets Program chip"),IF(O60="No","Program: shown, no status chip","Sets Program status chip")),IF(IF(D60&lt;&gt;"",D60,IFERROR(INDEX('Dashboard Items'!$B$2:$B$495,MATCH(E60,'Dashboard Items'!$A$2:$A$495,0)),""))="Work System","Work System: shown, not counted","Check Level"))))</f>
        <v/>
      </c>
    </row>
    <row r="61" ht="15" customFormat="1" customHeight="1" s="376">
      <c r="A61" s="377">
        <f>LEFT(B61, FIND("-", B61) - 1)</f>
        <v/>
      </c>
      <c r="B61" s="378" t="inlineStr">
        <is>
          <t>PD-DRONEASAFR</t>
        </is>
      </c>
      <c r="C61" s="379" t="inlineStr">
        <is>
          <t>Drone as first responder</t>
        </is>
      </c>
      <c r="D61" s="378" t="inlineStr">
        <is>
          <t>Program</t>
        </is>
      </c>
      <c r="E61" s="380" t="inlineStr">
        <is>
          <t>p104</t>
        </is>
      </c>
      <c r="F61" s="381">
        <f>IF(E61="","",IFERROR(IF(INDEX('Dashboard Items'!$B$2:$B$495,MATCH(E61,'Dashboard Items'!$A$2:$A$495,0))="Objective","Objectives go in the next column",IF(OR(D61="",INDEX('Dashboard Items'!$B$2:$B$495,MATCH(E61,'Dashboard Items'!$A$2:$A$495,0))=D61),INDEX('Dashboard Items'!$C$2:$C$495,MATCH(E61,'Dashboard Items'!$A$2:$A$495,0)),"Level does not match ID")),"ID not found"))</f>
        <v/>
      </c>
      <c r="G61" s="380" t="n"/>
      <c r="H61" s="381">
        <f>IF(G61="","",IF(ISNUMBER(SEARCH(",",G61)),"Several items (the script lists them)",IFERROR(INDEX('Dashboard Items'!$B$2:$B$495,MATCH(G61,'Dashboard Items'!$A$2:$A$495,0))&amp;": "&amp;INDEX('Dashboard Items'!$C$2:$C$495,MATCH(G61,'Dashboard Items'!$A$2:$A$495,0)),"ID not found")))</f>
        <v/>
      </c>
      <c r="I61" s="378" t="inlineStr">
        <is>
          <t>number</t>
        </is>
      </c>
      <c r="J61" s="378" t="n">
        <v>2</v>
      </c>
      <c r="K61" s="378" t="inlineStr">
        <is>
          <t>Yes</t>
        </is>
      </c>
      <c r="L61" s="378" t="inlineStr">
        <is>
          <t>Target</t>
        </is>
      </c>
      <c r="M61" s="378" t="n">
        <v>0</v>
      </c>
      <c r="N61" s="378" t="n">
        <v>0</v>
      </c>
      <c r="O61" s="378" t="inlineStr">
        <is>
          <t>Yes</t>
        </is>
      </c>
      <c r="P61" s="378" t="inlineStr">
        <is>
          <t>Every year</t>
        </is>
      </c>
      <c r="Q61" s="378" t="inlineStr">
        <is>
          <t>Chief of Police</t>
        </is>
      </c>
      <c r="R61" s="378" t="n"/>
      <c r="S61" s="378" t="n"/>
      <c r="T61" s="378" t="n"/>
      <c r="U61" s="355">
        <f>IF(B61="","",IF(IF(D61&lt;&gt;"",D61,IFERROR(INDEX('Dashboard Items'!$B$2:$B$495,MATCH(E61,'Dashboard Items'!$A$2:$A$495,0)),""))="Key Service",IF(O61="No","Key Service: shown, not counted","Counts in Key Service gauge"),IF(IF(D61&lt;&gt;"",D61,IFERROR(INDEX('Dashboard Items'!$B$2:$B$495,MATCH(E61,'Dashboard Items'!$A$2:$A$495,0)),""))="Program",IF(ISNUMBER(SEARCH("ks",G61)),IF(O61="No","Program, also at Key Service: not counted","Counts in Key Service gauge + sets Program chip"),IF(O61="No","Program: shown, no status chip","Sets Program status chip")),IF(IF(D61&lt;&gt;"",D61,IFERROR(INDEX('Dashboard Items'!$B$2:$B$495,MATCH(E61,'Dashboard Items'!$A$2:$A$495,0)),""))="Work System","Work System: shown, not counted","Check Level"))))</f>
        <v/>
      </c>
    </row>
    <row r="62" ht="15" customFormat="1" customHeight="1" s="376">
      <c r="A62" s="377">
        <f>LEFT(B62, FIND("-", B62) - 1)</f>
        <v/>
      </c>
      <c r="B62" s="378" t="inlineStr">
        <is>
          <t>PD-DUIARRESTS</t>
        </is>
      </c>
      <c r="C62" s="379" t="inlineStr">
        <is>
          <t>DUI Arrests</t>
        </is>
      </c>
      <c r="D62" s="378" t="inlineStr">
        <is>
          <t>Program</t>
        </is>
      </c>
      <c r="E62" s="378" t="inlineStr">
        <is>
          <t>p49</t>
        </is>
      </c>
      <c r="F62" s="381">
        <f>IF(E62="","",IFERROR(IF(INDEX('Dashboard Items'!$B$2:$B$495,MATCH(E62,'Dashboard Items'!$A$2:$A$495,0))="Objective","Objectives go in the next column",IF(OR(D62="",INDEX('Dashboard Items'!$B$2:$B$495,MATCH(E62,'Dashboard Items'!$A$2:$A$495,0))=D62),INDEX('Dashboard Items'!$C$2:$C$495,MATCH(E62,'Dashboard Items'!$A$2:$A$495,0)),"Level does not match ID")),"ID not found"))</f>
        <v/>
      </c>
      <c r="G62" s="380" t="n"/>
      <c r="H62" s="381">
        <f>IF(G62="","",IF(ISNUMBER(SEARCH(",",G62)),"Several items (the script lists them)",IFERROR(INDEX('Dashboard Items'!$B$2:$B$495,MATCH(G62,'Dashboard Items'!$A$2:$A$495,0))&amp;": "&amp;INDEX('Dashboard Items'!$C$2:$C$495,MATCH(G62,'Dashboard Items'!$A$2:$A$495,0)),"ID not found")))</f>
        <v/>
      </c>
      <c r="I62" s="378" t="inlineStr">
        <is>
          <t>number</t>
        </is>
      </c>
      <c r="J62" s="378" t="n">
        <v>2</v>
      </c>
      <c r="K62" s="378" t="inlineStr">
        <is>
          <t>Yes</t>
        </is>
      </c>
      <c r="L62" s="378" t="inlineStr">
        <is>
          <t>Target</t>
        </is>
      </c>
      <c r="M62" s="378" t="n">
        <v>0</v>
      </c>
      <c r="N62" s="378" t="n">
        <v>0</v>
      </c>
      <c r="O62" s="378" t="inlineStr">
        <is>
          <t>Yes</t>
        </is>
      </c>
      <c r="P62" s="378" t="inlineStr">
        <is>
          <t>Every year</t>
        </is>
      </c>
      <c r="Q62" s="378" t="inlineStr">
        <is>
          <t>Chief of Police</t>
        </is>
      </c>
      <c r="R62" s="378" t="n"/>
      <c r="S62" s="378" t="n"/>
      <c r="T62" s="378" t="n"/>
      <c r="U62" s="355">
        <f>IF(B62="","",IF(IF(D62&lt;&gt;"",D62,IFERROR(INDEX('Dashboard Items'!$B$2:$B$495,MATCH(E62,'Dashboard Items'!$A$2:$A$495,0)),""))="Key Service",IF(O62="No","Key Service: shown, not counted","Counts in Key Service gauge"),IF(IF(D62&lt;&gt;"",D62,IFERROR(INDEX('Dashboard Items'!$B$2:$B$495,MATCH(E62,'Dashboard Items'!$A$2:$A$495,0)),""))="Program",IF(ISNUMBER(SEARCH("ks",G62)),IF(O62="No","Program, also at Key Service: not counted","Counts in Key Service gauge + sets Program chip"),IF(O62="No","Program: shown, no status chip","Sets Program status chip")),IF(IF(D62&lt;&gt;"",D62,IFERROR(INDEX('Dashboard Items'!$B$2:$B$495,MATCH(E62,'Dashboard Items'!$A$2:$A$495,0)),""))="Work System","Work System: shown, not counted","Check Level"))))</f>
        <v/>
      </c>
    </row>
    <row r="63" ht="15" customFormat="1" customHeight="1" s="376">
      <c r="A63" s="377">
        <f>LEFT(B63, FIND("-", B63) - 1)</f>
        <v/>
      </c>
      <c r="B63" s="378" t="inlineStr">
        <is>
          <t>PD-EVIDENCEFORDA</t>
        </is>
      </c>
      <c r="C63" s="379" t="inlineStr">
        <is>
          <t>Evidence Processed vs Discovery for DA (ratio)</t>
        </is>
      </c>
      <c r="D63" s="378" t="inlineStr">
        <is>
          <t>Program</t>
        </is>
      </c>
      <c r="E63" s="380" t="inlineStr">
        <is>
          <t>p102</t>
        </is>
      </c>
      <c r="F63" s="381">
        <f>IF(E63="","",IFERROR(IF(INDEX('Dashboard Items'!$B$2:$B$495,MATCH(E63,'Dashboard Items'!$A$2:$A$495,0))="Objective","Objectives go in the next column",IF(OR(D63="",INDEX('Dashboard Items'!$B$2:$B$495,MATCH(E63,'Dashboard Items'!$A$2:$A$495,0))=D63),INDEX('Dashboard Items'!$C$2:$C$495,MATCH(E63,'Dashboard Items'!$A$2:$A$495,0)),"Level does not match ID")),"ID not found"))</f>
        <v/>
      </c>
      <c r="G63" s="380" t="n"/>
      <c r="H63" s="381">
        <f>IF(G63="","",IF(ISNUMBER(SEARCH(",",G63)),"Several items (the script lists them)",IFERROR(INDEX('Dashboard Items'!$B$2:$B$495,MATCH(G63,'Dashboard Items'!$A$2:$A$495,0))&amp;": "&amp;INDEX('Dashboard Items'!$C$2:$C$495,MATCH(G63,'Dashboard Items'!$A$2:$A$495,0)),"ID not found")))</f>
        <v/>
      </c>
      <c r="I63" s="378" t="inlineStr">
        <is>
          <t>number</t>
        </is>
      </c>
      <c r="J63" s="378" t="n">
        <v>2</v>
      </c>
      <c r="K63" s="378" t="inlineStr">
        <is>
          <t>Yes</t>
        </is>
      </c>
      <c r="L63" s="378" t="inlineStr">
        <is>
          <t>Target</t>
        </is>
      </c>
      <c r="M63" s="378" t="n">
        <v>0</v>
      </c>
      <c r="N63" s="378" t="n">
        <v>0</v>
      </c>
      <c r="O63" s="378" t="inlineStr">
        <is>
          <t>Yes</t>
        </is>
      </c>
      <c r="P63" s="378" t="inlineStr">
        <is>
          <t>Every year</t>
        </is>
      </c>
      <c r="Q63" s="378" t="inlineStr">
        <is>
          <t>Chief of Police</t>
        </is>
      </c>
      <c r="R63" s="378" t="n"/>
      <c r="S63" s="378" t="n"/>
      <c r="T63" s="378" t="n"/>
      <c r="U63" s="355">
        <f>IF(B63="","",IF(IF(D63&lt;&gt;"",D63,IFERROR(INDEX('Dashboard Items'!$B$2:$B$495,MATCH(E63,'Dashboard Items'!$A$2:$A$495,0)),""))="Key Service",IF(O63="No","Key Service: shown, not counted","Counts in Key Service gauge"),IF(IF(D63&lt;&gt;"",D63,IFERROR(INDEX('Dashboard Items'!$B$2:$B$495,MATCH(E63,'Dashboard Items'!$A$2:$A$495,0)),""))="Program",IF(ISNUMBER(SEARCH("ks",G63)),IF(O63="No","Program, also at Key Service: not counted","Counts in Key Service gauge + sets Program chip"),IF(O63="No","Program: shown, no status chip","Sets Program status chip")),IF(IF(D63&lt;&gt;"",D63,IFERROR(INDEX('Dashboard Items'!$B$2:$B$495,MATCH(E63,'Dashboard Items'!$A$2:$A$495,0)),""))="Work System","Work System: shown, not counted","Check Level"))))</f>
        <v/>
      </c>
    </row>
    <row r="64" ht="15.75" customFormat="1" customHeight="1" s="382">
      <c r="A64" s="377">
        <f>LEFT(B64, FIND("-", B64) - 1)</f>
        <v/>
      </c>
      <c r="B64" s="378" t="inlineStr">
        <is>
          <t>PD-FATALCRASH</t>
        </is>
      </c>
      <c r="C64" s="379" t="inlineStr">
        <is>
          <t>Fatal crash trend</t>
        </is>
      </c>
      <c r="D64" s="378" t="inlineStr">
        <is>
          <t>Key Service</t>
        </is>
      </c>
      <c r="E64" s="378" t="inlineStr">
        <is>
          <t>ks11</t>
        </is>
      </c>
      <c r="F64" s="381">
        <f>IF(E64="","",IFERROR(IF(INDEX('Dashboard Items'!$B$2:$B$495,MATCH(E64,'Dashboard Items'!$A$2:$A$495,0))="Objective","Objectives go in the next column",IF(OR(D64="",INDEX('Dashboard Items'!$B$2:$B$495,MATCH(E64,'Dashboard Items'!$A$2:$A$495,0))=D64),INDEX('Dashboard Items'!$C$2:$C$495,MATCH(E64,'Dashboard Items'!$A$2:$A$495,0)),"Level does not match ID")),"ID not found"))</f>
        <v/>
      </c>
      <c r="G64" s="380" t="n"/>
      <c r="H64" s="381">
        <f>IF(G64="","",IF(ISNUMBER(SEARCH(",",G64)),"Several items (the script lists them)",IFERROR(INDEX('Dashboard Items'!$B$2:$B$495,MATCH(G64,'Dashboard Items'!$A$2:$A$495,0))&amp;": "&amp;INDEX('Dashboard Items'!$C$2:$C$495,MATCH(G64,'Dashboard Items'!$A$2:$A$495,0)),"ID not found")))</f>
        <v/>
      </c>
      <c r="I64" s="378" t="inlineStr">
        <is>
          <t>number</t>
        </is>
      </c>
      <c r="J64" s="378" t="n">
        <v>2</v>
      </c>
      <c r="K64" s="378" t="inlineStr">
        <is>
          <t>Yes</t>
        </is>
      </c>
      <c r="L64" s="378" t="inlineStr">
        <is>
          <t>Target</t>
        </is>
      </c>
      <c r="M64" s="378" t="n">
        <v>0</v>
      </c>
      <c r="N64" s="378" t="n">
        <v>0</v>
      </c>
      <c r="O64" s="378" t="inlineStr">
        <is>
          <t>Yes</t>
        </is>
      </c>
      <c r="P64" s="378" t="inlineStr">
        <is>
          <t>Every year</t>
        </is>
      </c>
      <c r="Q64" s="378" t="inlineStr">
        <is>
          <t>Chief of Police</t>
        </is>
      </c>
      <c r="R64" s="378" t="n"/>
      <c r="S64" s="378" t="n"/>
      <c r="T64" s="378" t="n"/>
      <c r="U64" s="355">
        <f>IF(B64="","",IF(IF(D64&lt;&gt;"",D64,IFERROR(INDEX('Dashboard Items'!$B$2:$B$495,MATCH(E64,'Dashboard Items'!$A$2:$A$495,0)),""))="Key Service",IF(O64="No","Key Service: shown, not counted","Counts in Key Service gauge"),IF(IF(D64&lt;&gt;"",D64,IFERROR(INDEX('Dashboard Items'!$B$2:$B$495,MATCH(E64,'Dashboard Items'!$A$2:$A$495,0)),""))="Program",IF(ISNUMBER(SEARCH("ks",G64)),IF(O64="No","Program, also at Key Service: not counted","Counts in Key Service gauge + sets Program chip"),IF(O64="No","Program: shown, no status chip","Sets Program status chip")),IF(IF(D64&lt;&gt;"",D64,IFERROR(INDEX('Dashboard Items'!$B$2:$B$495,MATCH(E64,'Dashboard Items'!$A$2:$A$495,0)),""))="Work System","Work System: shown, not counted","Check Level"))))</f>
        <v/>
      </c>
    </row>
    <row r="65" ht="15.75" customFormat="1" customHeight="1" s="382">
      <c r="A65" s="377">
        <f>LEFT(B65, FIND("-", B65) - 1)</f>
        <v/>
      </c>
      <c r="B65" s="378" t="inlineStr">
        <is>
          <t>PD-FELONYREVIEWS</t>
        </is>
      </c>
      <c r="C65" s="379" t="inlineStr">
        <is>
          <t>In custody felony reviews - increase in felony arrests by patrol</t>
        </is>
      </c>
      <c r="D65" s="378" t="inlineStr">
        <is>
          <t>Program</t>
        </is>
      </c>
      <c r="E65" s="380" t="inlineStr">
        <is>
          <t>p102</t>
        </is>
      </c>
      <c r="F65" s="381">
        <f>IF(E65="","",IFERROR(IF(INDEX('Dashboard Items'!$B$2:$B$495,MATCH(E65,'Dashboard Items'!$A$2:$A$495,0))="Objective","Objectives go in the next column",IF(OR(D65="",INDEX('Dashboard Items'!$B$2:$B$495,MATCH(E65,'Dashboard Items'!$A$2:$A$495,0))=D65),INDEX('Dashboard Items'!$C$2:$C$495,MATCH(E65,'Dashboard Items'!$A$2:$A$495,0)),"Level does not match ID")),"ID not found"))</f>
        <v/>
      </c>
      <c r="G65" s="380" t="inlineStr">
        <is>
          <t>p50</t>
        </is>
      </c>
      <c r="H65" s="381">
        <f>IF(G65="","",IF(ISNUMBER(SEARCH(",",G65)),"Several items (the script lists them)",IFERROR(INDEX('Dashboard Items'!$B$2:$B$495,MATCH(G65,'Dashboard Items'!$A$2:$A$495,0))&amp;": "&amp;INDEX('Dashboard Items'!$C$2:$C$495,MATCH(G65,'Dashboard Items'!$A$2:$A$495,0)),"ID not found")))</f>
        <v/>
      </c>
      <c r="I65" s="378" t="inlineStr">
        <is>
          <t>number</t>
        </is>
      </c>
      <c r="J65" s="378" t="n">
        <v>2</v>
      </c>
      <c r="K65" s="378" t="inlineStr">
        <is>
          <t>Yes</t>
        </is>
      </c>
      <c r="L65" s="378" t="inlineStr">
        <is>
          <t>Target</t>
        </is>
      </c>
      <c r="M65" s="378" t="n">
        <v>0</v>
      </c>
      <c r="N65" s="378" t="n">
        <v>0</v>
      </c>
      <c r="O65" s="378" t="inlineStr">
        <is>
          <t>Yes</t>
        </is>
      </c>
      <c r="P65" s="378" t="inlineStr">
        <is>
          <t>Every year</t>
        </is>
      </c>
      <c r="Q65" s="378" t="inlineStr">
        <is>
          <t>Chief of Police</t>
        </is>
      </c>
      <c r="R65" s="378" t="n"/>
      <c r="S65" s="378" t="n"/>
      <c r="T65" s="378" t="n"/>
      <c r="U65" s="355">
        <f>IF(B65="","",IF(IF(D65&lt;&gt;"",D65,IFERROR(INDEX('Dashboard Items'!$B$2:$B$495,MATCH(E65,'Dashboard Items'!$A$2:$A$495,0)),""))="Key Service",IF(O65="No","Key Service: shown, not counted","Counts in Key Service gauge"),IF(IF(D65&lt;&gt;"",D65,IFERROR(INDEX('Dashboard Items'!$B$2:$B$495,MATCH(E65,'Dashboard Items'!$A$2:$A$495,0)),""))="Program",IF(ISNUMBER(SEARCH("ks",G65)),IF(O65="No","Program, also at Key Service: not counted","Counts in Key Service gauge + sets Program chip"),IF(O65="No","Program: shown, no status chip","Sets Program status chip")),IF(IF(D65&lt;&gt;"",D65,IFERROR(INDEX('Dashboard Items'!$B$2:$B$495,MATCH(E65,'Dashboard Items'!$A$2:$A$495,0)),""))="Work System","Work System: shown, not counted","Check Level"))))</f>
        <v/>
      </c>
    </row>
    <row r="66" ht="15.75" customFormat="1" customHeight="1" s="382">
      <c r="A66" s="377">
        <f>LEFT(B66, FIND("-", B66) - 1)</f>
        <v/>
      </c>
      <c r="B66" s="378" t="inlineStr">
        <is>
          <t>PD-INCIDENTS</t>
        </is>
      </c>
      <c r="C66" s="379" t="inlineStr">
        <is>
          <t xml:space="preserve">Total incidents - officer initiatied/proactivity vs dispatch call for service by incident type? - outcome would be more proactivity. </t>
        </is>
      </c>
      <c r="D66" s="378" t="inlineStr">
        <is>
          <t>Program</t>
        </is>
      </c>
      <c r="E66" s="378" t="inlineStr">
        <is>
          <t>p49</t>
        </is>
      </c>
      <c r="F66" s="381">
        <f>IF(E66="","",IFERROR(IF(INDEX('Dashboard Items'!$B$2:$B$495,MATCH(E66,'Dashboard Items'!$A$2:$A$495,0))="Objective","Objectives go in the next column",IF(OR(D66="",INDEX('Dashboard Items'!$B$2:$B$495,MATCH(E66,'Dashboard Items'!$A$2:$A$495,0))=D66),INDEX('Dashboard Items'!$C$2:$C$495,MATCH(E66,'Dashboard Items'!$A$2:$A$495,0)),"Level does not match ID")),"ID not found"))</f>
        <v/>
      </c>
      <c r="G66" s="380" t="n"/>
      <c r="H66" s="381">
        <f>IF(G66="","",IF(ISNUMBER(SEARCH(",",G66)),"Several items (the script lists them)",IFERROR(INDEX('Dashboard Items'!$B$2:$B$495,MATCH(G66,'Dashboard Items'!$A$2:$A$495,0))&amp;": "&amp;INDEX('Dashboard Items'!$C$2:$C$495,MATCH(G66,'Dashboard Items'!$A$2:$A$495,0)),"ID not found")))</f>
        <v/>
      </c>
      <c r="I66" s="378" t="inlineStr">
        <is>
          <t>number</t>
        </is>
      </c>
      <c r="J66" s="378" t="n">
        <v>2</v>
      </c>
      <c r="K66" s="378" t="inlineStr">
        <is>
          <t>Yes</t>
        </is>
      </c>
      <c r="L66" s="378" t="inlineStr">
        <is>
          <t>Target</t>
        </is>
      </c>
      <c r="M66" s="378" t="n">
        <v>0</v>
      </c>
      <c r="N66" s="378" t="n">
        <v>0</v>
      </c>
      <c r="O66" s="378" t="inlineStr">
        <is>
          <t>Yes</t>
        </is>
      </c>
      <c r="P66" s="378" t="inlineStr">
        <is>
          <t>Every year</t>
        </is>
      </c>
      <c r="Q66" s="378" t="inlineStr">
        <is>
          <t>Chief of Police</t>
        </is>
      </c>
      <c r="R66" s="378" t="n"/>
      <c r="S66" s="378" t="n"/>
      <c r="T66" s="378" t="n"/>
      <c r="U66" s="355">
        <f>IF(B66="","",IF(IF(D66&lt;&gt;"",D66,IFERROR(INDEX('Dashboard Items'!$B$2:$B$495,MATCH(E66,'Dashboard Items'!$A$2:$A$495,0)),""))="Key Service",IF(O66="No","Key Service: shown, not counted","Counts in Key Service gauge"),IF(IF(D66&lt;&gt;"",D66,IFERROR(INDEX('Dashboard Items'!$B$2:$B$495,MATCH(E66,'Dashboard Items'!$A$2:$A$495,0)),""))="Program",IF(ISNUMBER(SEARCH("ks",G66)),IF(O66="No","Program, also at Key Service: not counted","Counts in Key Service gauge + sets Program chip"),IF(O66="No","Program: shown, no status chip","Sets Program status chip")),IF(IF(D66&lt;&gt;"",D66,IFERROR(INDEX('Dashboard Items'!$B$2:$B$495,MATCH(E66,'Dashboard Items'!$A$2:$A$495,0)),""))="Work System","Work System: shown, not counted","Check Level"))))</f>
        <v/>
      </c>
    </row>
    <row r="67" ht="15.75" customFormat="1" customHeight="1" s="382">
      <c r="A67" s="377">
        <f>LEFT(B67, FIND("-", B67) - 1)</f>
        <v/>
      </c>
      <c r="B67" s="378" t="inlineStr">
        <is>
          <t>PD-OFFICERINITIATED</t>
        </is>
      </c>
      <c r="C67" s="379" t="inlineStr">
        <is>
          <t>Officer initiated activity</t>
        </is>
      </c>
      <c r="D67" s="378" t="inlineStr">
        <is>
          <t>Program</t>
        </is>
      </c>
      <c r="E67" s="378" t="inlineStr">
        <is>
          <t>p49</t>
        </is>
      </c>
      <c r="F67" s="381">
        <f>IF(E67="","",IFERROR(IF(INDEX('Dashboard Items'!$B$2:$B$495,MATCH(E67,'Dashboard Items'!$A$2:$A$495,0))="Objective","Objectives go in the next column",IF(OR(D67="",INDEX('Dashboard Items'!$B$2:$B$495,MATCH(E67,'Dashboard Items'!$A$2:$A$495,0))=D67),INDEX('Dashboard Items'!$C$2:$C$495,MATCH(E67,'Dashboard Items'!$A$2:$A$495,0)),"Level does not match ID")),"ID not found"))</f>
        <v/>
      </c>
      <c r="G67" s="380" t="n"/>
      <c r="H67" s="381">
        <f>IF(G67="","",IF(ISNUMBER(SEARCH(",",G67)),"Several items (the script lists them)",IFERROR(INDEX('Dashboard Items'!$B$2:$B$495,MATCH(G67,'Dashboard Items'!$A$2:$A$495,0))&amp;": "&amp;INDEX('Dashboard Items'!$C$2:$C$495,MATCH(G67,'Dashboard Items'!$A$2:$A$495,0)),"ID not found")))</f>
        <v/>
      </c>
      <c r="I67" s="378" t="inlineStr">
        <is>
          <t>number</t>
        </is>
      </c>
      <c r="J67" s="378" t="n">
        <v>2</v>
      </c>
      <c r="K67" s="378" t="inlineStr">
        <is>
          <t>Yes</t>
        </is>
      </c>
      <c r="L67" s="378" t="inlineStr">
        <is>
          <t>Target</t>
        </is>
      </c>
      <c r="M67" s="378" t="n">
        <v>0</v>
      </c>
      <c r="N67" s="378" t="n">
        <v>0</v>
      </c>
      <c r="O67" s="378" t="inlineStr">
        <is>
          <t>Yes</t>
        </is>
      </c>
      <c r="P67" s="378" t="inlineStr">
        <is>
          <t>Every year</t>
        </is>
      </c>
      <c r="Q67" s="378" t="inlineStr">
        <is>
          <t>Chief of Police</t>
        </is>
      </c>
      <c r="R67" s="378" t="n"/>
      <c r="S67" s="378" t="n"/>
      <c r="T67" s="378" t="n"/>
      <c r="U67" s="355">
        <f>IF(B67="","",IF(IF(D67&lt;&gt;"",D67,IFERROR(INDEX('Dashboard Items'!$B$2:$B$495,MATCH(E67,'Dashboard Items'!$A$2:$A$495,0)),""))="Key Service",IF(O67="No","Key Service: shown, not counted","Counts in Key Service gauge"),IF(IF(D67&lt;&gt;"",D67,IFERROR(INDEX('Dashboard Items'!$B$2:$B$495,MATCH(E67,'Dashboard Items'!$A$2:$A$495,0)),""))="Program",IF(ISNUMBER(SEARCH("ks",G67)),IF(O67="No","Program, also at Key Service: not counted","Counts in Key Service gauge + sets Program chip"),IF(O67="No","Program: shown, no status chip","Sets Program status chip")),IF(IF(D67&lt;&gt;"",D67,IFERROR(INDEX('Dashboard Items'!$B$2:$B$495,MATCH(E67,'Dashboard Items'!$A$2:$A$495,0)),""))="Work System","Work System: shown, not counted","Check Level"))))</f>
        <v/>
      </c>
    </row>
    <row r="68" ht="15.75" customFormat="1" customHeight="1" s="382">
      <c r="A68" s="377">
        <f>LEFT(B68, FIND("-", B68) - 1)</f>
        <v/>
      </c>
      <c r="B68" s="378" t="inlineStr">
        <is>
          <t>PD-PROACTIVETIME</t>
        </is>
      </c>
      <c r="C68" s="379" t="inlineStr">
        <is>
          <t>Proactive vs reactive time</t>
        </is>
      </c>
      <c r="D68" s="378" t="inlineStr">
        <is>
          <t>Program</t>
        </is>
      </c>
      <c r="E68" s="378" t="inlineStr">
        <is>
          <t>p49</t>
        </is>
      </c>
      <c r="F68" s="381">
        <f>IF(E68="","",IFERROR(IF(INDEX('Dashboard Items'!$B$2:$B$495,MATCH(E68,'Dashboard Items'!$A$2:$A$495,0))="Objective","Objectives go in the next column",IF(OR(D68="",INDEX('Dashboard Items'!$B$2:$B$495,MATCH(E68,'Dashboard Items'!$A$2:$A$495,0))=D68),INDEX('Dashboard Items'!$C$2:$C$495,MATCH(E68,'Dashboard Items'!$A$2:$A$495,0)),"Level does not match ID")),"ID not found"))</f>
        <v/>
      </c>
      <c r="G68" s="380" t="n"/>
      <c r="H68" s="381">
        <f>IF(G68="","",IF(ISNUMBER(SEARCH(",",G68)),"Several items (the script lists them)",IFERROR(INDEX('Dashboard Items'!$B$2:$B$495,MATCH(G68,'Dashboard Items'!$A$2:$A$495,0))&amp;": "&amp;INDEX('Dashboard Items'!$C$2:$C$495,MATCH(G68,'Dashboard Items'!$A$2:$A$495,0)),"ID not found")))</f>
        <v/>
      </c>
      <c r="I68" s="378" t="inlineStr">
        <is>
          <t>number</t>
        </is>
      </c>
      <c r="J68" s="378" t="n">
        <v>2</v>
      </c>
      <c r="K68" s="378" t="inlineStr">
        <is>
          <t>Yes</t>
        </is>
      </c>
      <c r="L68" s="378" t="inlineStr">
        <is>
          <t>Target</t>
        </is>
      </c>
      <c r="M68" s="378" t="n">
        <v>0</v>
      </c>
      <c r="N68" s="378" t="n">
        <v>0</v>
      </c>
      <c r="O68" s="378" t="inlineStr">
        <is>
          <t>Yes</t>
        </is>
      </c>
      <c r="P68" s="378" t="inlineStr">
        <is>
          <t>Every year</t>
        </is>
      </c>
      <c r="Q68" s="378" t="inlineStr">
        <is>
          <t>Chief of Police</t>
        </is>
      </c>
      <c r="R68" s="378" t="n"/>
      <c r="S68" s="378" t="n"/>
      <c r="T68" s="378" t="n"/>
      <c r="U68" s="355">
        <f>IF(B68="","",IF(IF(D68&lt;&gt;"",D68,IFERROR(INDEX('Dashboard Items'!$B$2:$B$495,MATCH(E68,'Dashboard Items'!$A$2:$A$495,0)),""))="Key Service",IF(O68="No","Key Service: shown, not counted","Counts in Key Service gauge"),IF(IF(D68&lt;&gt;"",D68,IFERROR(INDEX('Dashboard Items'!$B$2:$B$495,MATCH(E68,'Dashboard Items'!$A$2:$A$495,0)),""))="Program",IF(ISNUMBER(SEARCH("ks",G68)),IF(O68="No","Program, also at Key Service: not counted","Counts in Key Service gauge + sets Program chip"),IF(O68="No","Program: shown, no status chip","Sets Program status chip")),IF(IF(D68&lt;&gt;"",D68,IFERROR(INDEX('Dashboard Items'!$B$2:$B$495,MATCH(E68,'Dashboard Items'!$A$2:$A$495,0)),""))="Work System","Work System: shown, not counted","Check Level"))))</f>
        <v/>
      </c>
    </row>
    <row r="69" ht="15.75" customFormat="1" customHeight="1" s="382">
      <c r="A69" s="377">
        <f>LEFT(B69, FIND("-", B69) - 1)</f>
        <v/>
      </c>
      <c r="B69" s="378" t="inlineStr">
        <is>
          <t>PD-PROPERTYRECTIME</t>
        </is>
      </c>
      <c r="C69" s="379" t="inlineStr">
        <is>
          <t>Total Hours each property/records employee was spending per officer</t>
        </is>
      </c>
      <c r="D69" s="378" t="inlineStr">
        <is>
          <t>Program</t>
        </is>
      </c>
      <c r="E69" s="380" t="inlineStr">
        <is>
          <t>p102</t>
        </is>
      </c>
      <c r="F69" s="381">
        <f>IF(E69="","",IFERROR(IF(INDEX('Dashboard Items'!$B$2:$B$495,MATCH(E69,'Dashboard Items'!$A$2:$A$495,0))="Objective","Objectives go in the next column",IF(OR(D69="",INDEX('Dashboard Items'!$B$2:$B$495,MATCH(E69,'Dashboard Items'!$A$2:$A$495,0))=D69),INDEX('Dashboard Items'!$C$2:$C$495,MATCH(E69,'Dashboard Items'!$A$2:$A$495,0)),"Level does not match ID")),"ID not found"))</f>
        <v/>
      </c>
      <c r="G69" s="380" t="n"/>
      <c r="H69" s="381">
        <f>IF(G69="","",IF(ISNUMBER(SEARCH(",",G69)),"Several items (the script lists them)",IFERROR(INDEX('Dashboard Items'!$B$2:$B$495,MATCH(G69,'Dashboard Items'!$A$2:$A$495,0))&amp;": "&amp;INDEX('Dashboard Items'!$C$2:$C$495,MATCH(G69,'Dashboard Items'!$A$2:$A$495,0)),"ID not found")))</f>
        <v/>
      </c>
      <c r="I69" s="378" t="inlineStr">
        <is>
          <t>number</t>
        </is>
      </c>
      <c r="J69" s="378" t="n">
        <v>2</v>
      </c>
      <c r="K69" s="378" t="inlineStr">
        <is>
          <t>Yes</t>
        </is>
      </c>
      <c r="L69" s="378" t="inlineStr">
        <is>
          <t>Target</t>
        </is>
      </c>
      <c r="M69" s="378" t="n">
        <v>0</v>
      </c>
      <c r="N69" s="378" t="n">
        <v>0</v>
      </c>
      <c r="O69" s="378" t="inlineStr">
        <is>
          <t>Yes</t>
        </is>
      </c>
      <c r="P69" s="378" t="inlineStr">
        <is>
          <t>Every year</t>
        </is>
      </c>
      <c r="Q69" s="378" t="inlineStr">
        <is>
          <t>Chief of Police</t>
        </is>
      </c>
      <c r="R69" s="378" t="n"/>
      <c r="S69" s="378" t="n"/>
      <c r="T69" s="378" t="n"/>
      <c r="U69" s="355">
        <f>IF(B69="","",IF(IF(D69&lt;&gt;"",D69,IFERROR(INDEX('Dashboard Items'!$B$2:$B$495,MATCH(E69,'Dashboard Items'!$A$2:$A$495,0)),""))="Key Service",IF(O69="No","Key Service: shown, not counted","Counts in Key Service gauge"),IF(IF(D69&lt;&gt;"",D69,IFERROR(INDEX('Dashboard Items'!$B$2:$B$495,MATCH(E69,'Dashboard Items'!$A$2:$A$495,0)),""))="Program",IF(ISNUMBER(SEARCH("ks",G69)),IF(O69="No","Program, also at Key Service: not counted","Counts in Key Service gauge + sets Program chip"),IF(O69="No","Program: shown, no status chip","Sets Program status chip")),IF(IF(D69&lt;&gt;"",D69,IFERROR(INDEX('Dashboard Items'!$B$2:$B$495,MATCH(E69,'Dashboard Items'!$A$2:$A$495,0)),""))="Work System","Work System: shown, not counted","Check Level"))))</f>
        <v/>
      </c>
    </row>
    <row r="70" ht="15.75" customFormat="1" customHeight="1" s="382">
      <c r="A70" s="377">
        <f>LEFT(B70, FIND("-", B70) - 1)</f>
        <v/>
      </c>
      <c r="B70" s="378" t="inlineStr">
        <is>
          <t>PD-RESPONSETIME</t>
        </is>
      </c>
      <c r="C70" s="379" t="inlineStr">
        <is>
          <t>Response time - segmented into 911 and non emergent response</t>
        </is>
      </c>
      <c r="D70" s="378" t="inlineStr">
        <is>
          <t>Key Service</t>
        </is>
      </c>
      <c r="E70" s="378" t="inlineStr">
        <is>
          <t>ks11</t>
        </is>
      </c>
      <c r="F70" s="381">
        <f>IF(E70="","",IFERROR(IF(INDEX('Dashboard Items'!$B$2:$B$495,MATCH(E70,'Dashboard Items'!$A$2:$A$495,0))="Objective","Objectives go in the next column",IF(OR(D70="",INDEX('Dashboard Items'!$B$2:$B$495,MATCH(E70,'Dashboard Items'!$A$2:$A$495,0))=D70),INDEX('Dashboard Items'!$C$2:$C$495,MATCH(E70,'Dashboard Items'!$A$2:$A$495,0)),"Level does not match ID")),"ID not found"))</f>
        <v/>
      </c>
      <c r="G70" s="380" t="inlineStr">
        <is>
          <t>p49,p104</t>
        </is>
      </c>
      <c r="H70" s="381">
        <f>IF(G70="","",IF(ISNUMBER(SEARCH(",",G70)),"Several items (the script lists them)",IFERROR(INDEX('Dashboard Items'!$B$2:$B$495,MATCH(G70,'Dashboard Items'!$A$2:$A$495,0))&amp;": "&amp;INDEX('Dashboard Items'!$C$2:$C$495,MATCH(G70,'Dashboard Items'!$A$2:$A$495,0)),"ID not found")))</f>
        <v/>
      </c>
      <c r="I70" s="378" t="inlineStr">
        <is>
          <t>number</t>
        </is>
      </c>
      <c r="J70" s="378" t="n">
        <v>2</v>
      </c>
      <c r="K70" s="378" t="inlineStr">
        <is>
          <t>Yes</t>
        </is>
      </c>
      <c r="L70" s="378" t="inlineStr">
        <is>
          <t>Target</t>
        </is>
      </c>
      <c r="M70" s="378" t="n">
        <v>0</v>
      </c>
      <c r="N70" s="378" t="n">
        <v>0</v>
      </c>
      <c r="O70" s="378" t="inlineStr">
        <is>
          <t>Yes</t>
        </is>
      </c>
      <c r="P70" s="378" t="inlineStr">
        <is>
          <t>Every year</t>
        </is>
      </c>
      <c r="Q70" s="378" t="inlineStr">
        <is>
          <t>Chief of Police</t>
        </is>
      </c>
      <c r="R70" s="378" t="n"/>
      <c r="S70" s="378" t="n"/>
      <c r="T70" s="378" t="n"/>
      <c r="U70" s="355">
        <f>IF(B70="","",IF(IF(D70&lt;&gt;"",D70,IFERROR(INDEX('Dashboard Items'!$B$2:$B$495,MATCH(E70,'Dashboard Items'!$A$2:$A$495,0)),""))="Key Service",IF(O70="No","Key Service: shown, not counted","Counts in Key Service gauge"),IF(IF(D70&lt;&gt;"",D70,IFERROR(INDEX('Dashboard Items'!$B$2:$B$495,MATCH(E70,'Dashboard Items'!$A$2:$A$495,0)),""))="Program",IF(ISNUMBER(SEARCH("ks",G70)),IF(O70="No","Program, also at Key Service: not counted","Counts in Key Service gauge + sets Program chip"),IF(O70="No","Program: shown, no status chip","Sets Program status chip")),IF(IF(D70&lt;&gt;"",D70,IFERROR(INDEX('Dashboard Items'!$B$2:$B$495,MATCH(E70,'Dashboard Items'!$A$2:$A$495,0)),""))="Work System","Work System: shown, not counted","Check Level"))))</f>
        <v/>
      </c>
    </row>
    <row r="71" ht="15.75" customFormat="1" customHeight="1" s="382">
      <c r="A71" s="377">
        <f>LEFT(B71, FIND("-", B71) - 1)</f>
        <v/>
      </c>
      <c r="B71" s="378" t="inlineStr">
        <is>
          <t>PD-SAFETOTELL</t>
        </is>
      </c>
      <c r="C71" s="379" t="inlineStr">
        <is>
          <t>Time to view case for Safe to Tell (could segment by type or solvability) - criminal vs school administrative issue</t>
        </is>
      </c>
      <c r="D71" s="378" t="inlineStr">
        <is>
          <t>Program</t>
        </is>
      </c>
      <c r="E71" s="378" t="inlineStr">
        <is>
          <t>p51</t>
        </is>
      </c>
      <c r="F71" s="381">
        <f>IF(E71="","",IFERROR(IF(INDEX('Dashboard Items'!$B$2:$B$495,MATCH(E71,'Dashboard Items'!$A$2:$A$495,0))="Objective","Objectives go in the next column",IF(OR(D71="",INDEX('Dashboard Items'!$B$2:$B$495,MATCH(E71,'Dashboard Items'!$A$2:$A$495,0))=D71),INDEX('Dashboard Items'!$C$2:$C$495,MATCH(E71,'Dashboard Items'!$A$2:$A$495,0)),"Level does not match ID")),"ID not found"))</f>
        <v/>
      </c>
      <c r="G71" s="380" t="n"/>
      <c r="H71" s="381">
        <f>IF(G71="","",IF(ISNUMBER(SEARCH(",",G71)),"Several items (the script lists them)",IFERROR(INDEX('Dashboard Items'!$B$2:$B$495,MATCH(G71,'Dashboard Items'!$A$2:$A$495,0))&amp;": "&amp;INDEX('Dashboard Items'!$C$2:$C$495,MATCH(G71,'Dashboard Items'!$A$2:$A$495,0)),"ID not found")))</f>
        <v/>
      </c>
      <c r="I71" s="378" t="inlineStr">
        <is>
          <t>number</t>
        </is>
      </c>
      <c r="J71" s="378" t="n">
        <v>2</v>
      </c>
      <c r="K71" s="378" t="inlineStr">
        <is>
          <t>Yes</t>
        </is>
      </c>
      <c r="L71" s="378" t="inlineStr">
        <is>
          <t>Target</t>
        </is>
      </c>
      <c r="M71" s="378" t="n">
        <v>0</v>
      </c>
      <c r="N71" s="378" t="n">
        <v>0</v>
      </c>
      <c r="O71" s="378" t="inlineStr">
        <is>
          <t>Yes</t>
        </is>
      </c>
      <c r="P71" s="378" t="inlineStr">
        <is>
          <t>Every year</t>
        </is>
      </c>
      <c r="Q71" s="378" t="inlineStr">
        <is>
          <t>Chief of Police</t>
        </is>
      </c>
      <c r="R71" s="378" t="n"/>
      <c r="S71" s="378" t="n"/>
      <c r="T71" s="378" t="n"/>
      <c r="U71" s="355">
        <f>IF(B71="","",IF(IF(D71&lt;&gt;"",D71,IFERROR(INDEX('Dashboard Items'!$B$2:$B$495,MATCH(E71,'Dashboard Items'!$A$2:$A$495,0)),""))="Key Service",IF(O71="No","Key Service: shown, not counted","Counts in Key Service gauge"),IF(IF(D71&lt;&gt;"",D71,IFERROR(INDEX('Dashboard Items'!$B$2:$B$495,MATCH(E71,'Dashboard Items'!$A$2:$A$495,0)),""))="Program",IF(ISNUMBER(SEARCH("ks",G71)),IF(O71="No","Program, also at Key Service: not counted","Counts in Key Service gauge + sets Program chip"),IF(O71="No","Program: shown, no status chip","Sets Program status chip")),IF(IF(D71&lt;&gt;"",D71,IFERROR(INDEX('Dashboard Items'!$B$2:$B$495,MATCH(E71,'Dashboard Items'!$A$2:$A$495,0)),""))="Work System","Work System: shown, not counted","Check Level"))))</f>
        <v/>
      </c>
    </row>
    <row r="72" ht="15.75" customFormat="1" customHeight="1" s="382">
      <c r="A72" s="377">
        <f>LEFT(B72, FIND("-", B72) - 1)</f>
        <v/>
      </c>
      <c r="B72" s="378" t="inlineStr">
        <is>
          <t>PD-TRAFFICINJURY</t>
        </is>
      </c>
      <c r="C72" s="379" t="inlineStr">
        <is>
          <t xml:space="preserve">Traffic injury trend </t>
        </is>
      </c>
      <c r="D72" s="378" t="inlineStr">
        <is>
          <t>Key Service</t>
        </is>
      </c>
      <c r="E72" s="378" t="inlineStr">
        <is>
          <t>ks11</t>
        </is>
      </c>
      <c r="F72" s="381">
        <f>IF(E72="","",IFERROR(IF(INDEX('Dashboard Items'!$B$2:$B$495,MATCH(E72,'Dashboard Items'!$A$2:$A$495,0))="Objective","Objectives go in the next column",IF(OR(D72="",INDEX('Dashboard Items'!$B$2:$B$495,MATCH(E72,'Dashboard Items'!$A$2:$A$495,0))=D72),INDEX('Dashboard Items'!$C$2:$C$495,MATCH(E72,'Dashboard Items'!$A$2:$A$495,0)),"Level does not match ID")),"ID not found"))</f>
        <v/>
      </c>
      <c r="G72" s="380" t="n"/>
      <c r="H72" s="381">
        <f>IF(G72="","",IF(ISNUMBER(SEARCH(",",G72)),"Several items (the script lists them)",IFERROR(INDEX('Dashboard Items'!$B$2:$B$495,MATCH(G72,'Dashboard Items'!$A$2:$A$495,0))&amp;": "&amp;INDEX('Dashboard Items'!$C$2:$C$495,MATCH(G72,'Dashboard Items'!$A$2:$A$495,0)),"ID not found")))</f>
        <v/>
      </c>
      <c r="I72" s="378" t="inlineStr">
        <is>
          <t>number</t>
        </is>
      </c>
      <c r="J72" s="378" t="n">
        <v>2</v>
      </c>
      <c r="K72" s="378" t="inlineStr">
        <is>
          <t>Yes</t>
        </is>
      </c>
      <c r="L72" s="378" t="inlineStr">
        <is>
          <t>Target</t>
        </is>
      </c>
      <c r="M72" s="378" t="n">
        <v>0</v>
      </c>
      <c r="N72" s="378" t="n">
        <v>0</v>
      </c>
      <c r="O72" s="378" t="inlineStr">
        <is>
          <t>Yes</t>
        </is>
      </c>
      <c r="P72" s="378" t="inlineStr">
        <is>
          <t>Every year</t>
        </is>
      </c>
      <c r="Q72" s="378" t="inlineStr">
        <is>
          <t>Chief of Police</t>
        </is>
      </c>
      <c r="R72" s="378" t="n"/>
      <c r="S72" s="378" t="n"/>
      <c r="T72" s="378" t="n"/>
      <c r="U72" s="355">
        <f>IF(B72="","",IF(IF(D72&lt;&gt;"",D72,IFERROR(INDEX('Dashboard Items'!$B$2:$B$495,MATCH(E72,'Dashboard Items'!$A$2:$A$495,0)),""))="Key Service",IF(O72="No","Key Service: shown, not counted","Counts in Key Service gauge"),IF(IF(D72&lt;&gt;"",D72,IFERROR(INDEX('Dashboard Items'!$B$2:$B$495,MATCH(E72,'Dashboard Items'!$A$2:$A$495,0)),""))="Program",IF(ISNUMBER(SEARCH("ks",G72)),IF(O72="No","Program, also at Key Service: not counted","Counts in Key Service gauge + sets Program chip"),IF(O72="No","Program: shown, no status chip","Sets Program status chip")),IF(IF(D72&lt;&gt;"",D72,IFERROR(INDEX('Dashboard Items'!$B$2:$B$495,MATCH(E72,'Dashboard Items'!$A$2:$A$495,0)),""))="Work System","Work System: shown, not counted","Check Level"))))</f>
        <v/>
      </c>
    </row>
    <row r="73" ht="15.75" customFormat="1" customHeight="1" s="382">
      <c r="A73" s="377">
        <f>LEFT(B73, FIND("-", B73) - 1)</f>
        <v/>
      </c>
      <c r="B73" s="378" t="inlineStr">
        <is>
          <t>PD-VIOLENTPROPCRIME</t>
        </is>
      </c>
      <c r="C73" s="379" t="inlineStr">
        <is>
          <t>Violent/property crime trend</t>
        </is>
      </c>
      <c r="D73" s="378" t="inlineStr">
        <is>
          <t>Key Service</t>
        </is>
      </c>
      <c r="E73" s="378" t="inlineStr">
        <is>
          <t>ks11</t>
        </is>
      </c>
      <c r="F73" s="381">
        <f>IF(E73="","",IFERROR(IF(INDEX('Dashboard Items'!$B$2:$B$495,MATCH(E73,'Dashboard Items'!$A$2:$A$495,0))="Objective","Objectives go in the next column",IF(OR(D73="",INDEX('Dashboard Items'!$B$2:$B$495,MATCH(E73,'Dashboard Items'!$A$2:$A$495,0))=D73),INDEX('Dashboard Items'!$C$2:$C$495,MATCH(E73,'Dashboard Items'!$A$2:$A$495,0)),"Level does not match ID")),"ID not found"))</f>
        <v/>
      </c>
      <c r="G73" s="380" t="n"/>
      <c r="H73" s="381">
        <f>IF(G73="","",IF(ISNUMBER(SEARCH(",",G73)),"Several items (the script lists them)",IFERROR(INDEX('Dashboard Items'!$B$2:$B$495,MATCH(G73,'Dashboard Items'!$A$2:$A$495,0))&amp;": "&amp;INDEX('Dashboard Items'!$C$2:$C$495,MATCH(G73,'Dashboard Items'!$A$2:$A$495,0)),"ID not found")))</f>
        <v/>
      </c>
      <c r="I73" s="378" t="inlineStr">
        <is>
          <t>per 1,000 residents</t>
        </is>
      </c>
      <c r="J73" s="378" t="n">
        <v>0</v>
      </c>
      <c r="K73" s="378" t="inlineStr">
        <is>
          <t>No</t>
        </is>
      </c>
      <c r="L73" s="378" t="inlineStr">
        <is>
          <t>Target</t>
        </is>
      </c>
      <c r="M73" s="378" t="n">
        <v>0</v>
      </c>
      <c r="N73" s="378" t="n">
        <v>0</v>
      </c>
      <c r="O73" s="378" t="inlineStr">
        <is>
          <t>Yes</t>
        </is>
      </c>
      <c r="P73" s="378" t="inlineStr">
        <is>
          <t>Every year</t>
        </is>
      </c>
      <c r="Q73" s="378" t="inlineStr">
        <is>
          <t>Chief of Police</t>
        </is>
      </c>
      <c r="R73" s="378" t="n"/>
      <c r="S73" s="378" t="inlineStr">
        <is>
          <t>Part 1 crimes (violent and property crimes) in Durango per 1,000 residents each fiscal year.</t>
        </is>
      </c>
      <c r="T73" s="378" t="inlineStr">
        <is>
          <t>Target: at least 10% below the Colorado average. Benchmark: Colorado's Part 1 crime rate, 36.4 per 1,000. Rates use Durango's resident population of about 19,000; they do not include the more than 30,000 tourists, workers and other visitors in Durango each day.</t>
        </is>
      </c>
      <c r="U73" s="355">
        <f>IF(B73="","",IF(IF(D73&lt;&gt;"",D73,IFERROR(INDEX('Dashboard Items'!$B$2:$B$495,MATCH(E73,'Dashboard Items'!$A$2:$A$495,0)),""))="Key Service",IF(O73="No","Key Service: shown, not counted","Counts in Key Service gauge"),IF(IF(D73&lt;&gt;"",D73,IFERROR(INDEX('Dashboard Items'!$B$2:$B$495,MATCH(E73,'Dashboard Items'!$A$2:$A$495,0)),""))="Program",IF(ISNUMBER(SEARCH("ks",G73)),IF(O73="No","Program, also at Key Service: not counted","Counts in Key Service gauge + sets Program chip"),IF(O73="No","Program: shown, no status chip","Sets Program status chip")),IF(IF(D73&lt;&gt;"",D73,IFERROR(INDEX('Dashboard Items'!$B$2:$B$495,MATCH(E73,'Dashboard Items'!$A$2:$A$495,0)),""))="Work System","Work System: shown, not counted","Check Level"))))</f>
        <v/>
      </c>
    </row>
    <row r="74" ht="15.75" customFormat="1" customHeight="1" s="382">
      <c r="A74" s="377">
        <f>LEFT(B74, FIND("-", B74) - 1)</f>
        <v/>
      </c>
      <c r="B74" s="378" t="inlineStr">
        <is>
          <t>PD-WILDLIFETRENDS</t>
        </is>
      </c>
      <c r="C74" s="379" t="inlineStr">
        <is>
          <t>Wildlife trends by type</t>
        </is>
      </c>
      <c r="D74" s="378" t="inlineStr">
        <is>
          <t>Program</t>
        </is>
      </c>
      <c r="E74" s="378" t="inlineStr">
        <is>
          <t>p51</t>
        </is>
      </c>
      <c r="F74" s="381">
        <f>IF(E74="","",IFERROR(IF(INDEX('Dashboard Items'!$B$2:$B$495,MATCH(E74,'Dashboard Items'!$A$2:$A$495,0))="Objective","Objectives go in the next column",IF(OR(D74="",INDEX('Dashboard Items'!$B$2:$B$495,MATCH(E74,'Dashboard Items'!$A$2:$A$495,0))=D74),INDEX('Dashboard Items'!$C$2:$C$495,MATCH(E74,'Dashboard Items'!$A$2:$A$495,0)),"Level does not match ID")),"ID not found"))</f>
        <v/>
      </c>
      <c r="G74" s="380" t="n"/>
      <c r="H74" s="381">
        <f>IF(G74="","",IF(ISNUMBER(SEARCH(",",G74)),"Several items (the script lists them)",IFERROR(INDEX('Dashboard Items'!$B$2:$B$495,MATCH(G74,'Dashboard Items'!$A$2:$A$495,0))&amp;": "&amp;INDEX('Dashboard Items'!$C$2:$C$495,MATCH(G74,'Dashboard Items'!$A$2:$A$495,0)),"ID not found")))</f>
        <v/>
      </c>
      <c r="I74" s="378" t="inlineStr">
        <is>
          <t>number</t>
        </is>
      </c>
      <c r="J74" s="378" t="n">
        <v>2</v>
      </c>
      <c r="K74" s="378" t="inlineStr">
        <is>
          <t>Yes</t>
        </is>
      </c>
      <c r="L74" s="378" t="inlineStr">
        <is>
          <t>Target</t>
        </is>
      </c>
      <c r="M74" s="378" t="n">
        <v>0</v>
      </c>
      <c r="N74" s="378" t="n">
        <v>0</v>
      </c>
      <c r="O74" s="378" t="inlineStr">
        <is>
          <t>Yes</t>
        </is>
      </c>
      <c r="P74" s="378" t="inlineStr">
        <is>
          <t>Every year</t>
        </is>
      </c>
      <c r="Q74" s="378" t="inlineStr">
        <is>
          <t>Chief of Police</t>
        </is>
      </c>
      <c r="R74" s="378" t="n"/>
      <c r="S74" s="378" t="n"/>
      <c r="T74" s="378" t="n"/>
      <c r="U74" s="355">
        <f>IF(B74="","",IF(IF(D74&lt;&gt;"",D74,IFERROR(INDEX('Dashboard Items'!$B$2:$B$495,MATCH(E74,'Dashboard Items'!$A$2:$A$495,0)),""))="Key Service",IF(O74="No","Key Service: shown, not counted","Counts in Key Service gauge"),IF(IF(D74&lt;&gt;"",D74,IFERROR(INDEX('Dashboard Items'!$B$2:$B$495,MATCH(E74,'Dashboard Items'!$A$2:$A$495,0)),""))="Program",IF(ISNUMBER(SEARCH("ks",G74)),IF(O74="No","Program, also at Key Service: not counted","Counts in Key Service gauge + sets Program chip"),IF(O74="No","Program: shown, no status chip","Sets Program status chip")),IF(IF(D74&lt;&gt;"",D74,IFERROR(INDEX('Dashboard Items'!$B$2:$B$495,MATCH(E74,'Dashboard Items'!$A$2:$A$495,0)),""))="Work System","Work System: shown, not counted","Check Level"))))</f>
        <v/>
      </c>
    </row>
    <row r="75" ht="15.75" customFormat="1" customHeight="1" s="382">
      <c r="A75" s="383">
        <f>LEFT(B75, FIND("-", B75) - 1)</f>
        <v/>
      </c>
      <c r="B75" s="383" t="inlineStr">
        <is>
          <t>PIO-AUDIENCEGROWTH</t>
        </is>
      </c>
      <c r="C75" s="383" t="inlineStr">
        <is>
          <t>Social media audience growth (FB, IG, TT)</t>
        </is>
      </c>
      <c r="D75" s="383" t="inlineStr">
        <is>
          <t>Program</t>
        </is>
      </c>
      <c r="E75" s="383" t="inlineStr">
        <is>
          <t>p12</t>
        </is>
      </c>
      <c r="F75" s="384">
        <f>IF(E75="","",IFERROR(IF(INDEX('Dashboard Items'!$B$2:$B$495,MATCH(E75,'Dashboard Items'!$A$2:$A$495,0))="Objective","Objectives go in the next column",IF(OR(D75="",INDEX('Dashboard Items'!$B$2:$B$495,MATCH(E75,'Dashboard Items'!$A$2:$A$495,0))=D75),INDEX('Dashboard Items'!$C$2:$C$495,MATCH(E75,'Dashboard Items'!$A$2:$A$495,0)),"Level does not match ID")),"ID not found"))</f>
        <v/>
      </c>
      <c r="G75" s="385" t="n"/>
      <c r="H75" s="384" t="n"/>
      <c r="I75" s="383" t="n"/>
      <c r="J75" s="383" t="n"/>
      <c r="K75" s="383" t="n"/>
      <c r="L75" s="383" t="n"/>
      <c r="M75" s="383" t="n"/>
      <c r="N75" s="383" t="n"/>
      <c r="O75" s="383" t="inlineStr">
        <is>
          <t>Yes</t>
        </is>
      </c>
      <c r="P75" s="383" t="inlineStr">
        <is>
          <t>Every year</t>
        </is>
      </c>
      <c r="Q75" s="383" t="n"/>
      <c r="R75" s="383" t="n"/>
      <c r="S75" s="383" t="n"/>
      <c r="T75" s="383" t="n"/>
      <c r="U75" s="355">
        <f>IF(B75="","",IF(IF(D75&lt;&gt;"",D75,IFERROR(INDEX('Dashboard Items'!$B$2:$B$495,MATCH(E75,'Dashboard Items'!$A$2:$A$495,0)),""))="Key Service",IF(O75="No","Key Service: shown, not counted","Counts in Key Service gauge"),IF(IF(D75&lt;&gt;"",D75,IFERROR(INDEX('Dashboard Items'!$B$2:$B$495,MATCH(E75,'Dashboard Items'!$A$2:$A$495,0)),""))="Program",IF(ISNUMBER(SEARCH("ks",G75)),IF(O75="No","Program, also at Key Service: not counted","Counts in Key Service gauge + sets Program chip"),IF(O75="No","Program: shown, no status chip","Sets Program status chip")),IF(IF(D75&lt;&gt;"",D75,IFERROR(INDEX('Dashboard Items'!$B$2:$B$495,MATCH(E75,'Dashboard Items'!$A$2:$A$495,0)),""))="Work System","Work System: shown, not counted","Check Level"))))</f>
        <v/>
      </c>
    </row>
    <row r="76" ht="15.75" customFormat="1" customHeight="1" s="382">
      <c r="A76" s="383">
        <f>LEFT(B76, FIND("-", B76) - 1)</f>
        <v/>
      </c>
      <c r="B76" s="383" t="inlineStr">
        <is>
          <t>PIO-ENGRATE</t>
        </is>
      </c>
      <c r="C76" s="383" t="inlineStr">
        <is>
          <t>Social media engagement rate (FB, IG, TT)</t>
        </is>
      </c>
      <c r="D76" s="383" t="inlineStr">
        <is>
          <t>Program</t>
        </is>
      </c>
      <c r="E76" s="383" t="inlineStr">
        <is>
          <t>p12</t>
        </is>
      </c>
      <c r="F76" s="384">
        <f>IF(E76="","",IFERROR(IF(INDEX('Dashboard Items'!$B$2:$B$495,MATCH(E76,'Dashboard Items'!$A$2:$A$495,0))="Objective","Objectives go in the next column",IF(OR(D76="",INDEX('Dashboard Items'!$B$2:$B$495,MATCH(E76,'Dashboard Items'!$A$2:$A$495,0))=D76),INDEX('Dashboard Items'!$C$2:$C$495,MATCH(E76,'Dashboard Items'!$A$2:$A$495,0)),"Level does not match ID")),"ID not found"))</f>
        <v/>
      </c>
      <c r="G76" s="385" t="inlineStr">
        <is>
          <t>ks3</t>
        </is>
      </c>
      <c r="H76" s="384">
        <f>IF(G76="","",IF(ISNUMBER(SEARCH(",",G76)),"Several items (the script lists them)",IFERROR(INDEX('Dashboard Items'!$B$2:$B$495,MATCH(G76,'Dashboard Items'!$A$2:$A$495,0))&amp;": "&amp;INDEX('Dashboard Items'!$C$2:$C$495,MATCH(G76,'Dashboard Items'!$A$2:$A$495,0)),"ID not found")))</f>
        <v/>
      </c>
      <c r="I76" s="383" t="n"/>
      <c r="J76" s="383" t="n">
        <v>2</v>
      </c>
      <c r="K76" s="383" t="inlineStr">
        <is>
          <t>Yes</t>
        </is>
      </c>
      <c r="L76" s="383" t="inlineStr">
        <is>
          <t>Target</t>
        </is>
      </c>
      <c r="M76" s="383" t="n">
        <v>0</v>
      </c>
      <c r="N76" s="383" t="n">
        <v>0</v>
      </c>
      <c r="O76" s="383" t="inlineStr">
        <is>
          <t>Yes</t>
        </is>
      </c>
      <c r="P76" s="383" t="inlineStr">
        <is>
          <t>Every year</t>
        </is>
      </c>
      <c r="Q76" s="383" t="inlineStr">
        <is>
          <t>Public Information Officer</t>
        </is>
      </c>
      <c r="R76" s="383" t="inlineStr">
        <is>
          <t>Instagram, Facebook, LinkedIn, TikTok</t>
        </is>
      </c>
      <c r="S76" s="383" t="n"/>
      <c r="T76" s="383" t="n"/>
      <c r="U76" s="355">
        <f>IF(B76="","",IF(IF(D76&lt;&gt;"",D76,IFERROR(INDEX('Dashboard Items'!$B$2:$B$495,MATCH(E76,'Dashboard Items'!$A$2:$A$495,0)),""))="Key Service",IF(O76="No","Key Service: shown, not counted","Counts in Key Service gauge"),IF(IF(D76&lt;&gt;"",D76,IFERROR(INDEX('Dashboard Items'!$B$2:$B$495,MATCH(E76,'Dashboard Items'!$A$2:$A$495,0)),""))="Program",IF(ISNUMBER(SEARCH("ks",G76)),IF(O76="No","Program, also at Key Service: not counted","Counts in Key Service gauge + sets Program chip"),IF(O76="No","Program: shown, no status chip","Sets Program status chip")),IF(IF(D76&lt;&gt;"",D76,IFERROR(INDEX('Dashboard Items'!$B$2:$B$495,MATCH(E76,'Dashboard Items'!$A$2:$A$495,0)),""))="Work System","Work System: shown, not counted","Check Level"))))</f>
        <v/>
      </c>
    </row>
    <row r="77" ht="15.75" customFormat="1" customHeight="1" s="377">
      <c r="A77" s="383">
        <f>LEFT(B77, FIND("-", B77) - 1)</f>
        <v/>
      </c>
      <c r="B77" s="383" t="inlineStr">
        <is>
          <t>PIO-SEECLICKFIX</t>
        </is>
      </c>
      <c r="C77" s="383" t="inlineStr">
        <is>
          <t>SeeClickFix requests</t>
        </is>
      </c>
      <c r="D77" s="383" t="inlineStr">
        <is>
          <t>Program</t>
        </is>
      </c>
      <c r="E77" s="383" t="inlineStr">
        <is>
          <t>p11</t>
        </is>
      </c>
      <c r="F77" s="384">
        <f>IF(E77="","",IFERROR(IF(INDEX('Dashboard Items'!$B$2:$B$495,MATCH(E77,'Dashboard Items'!$A$2:$A$495,0))="Objective","Objectives go in the next column",IF(OR(D77="",INDEX('Dashboard Items'!$B$2:$B$495,MATCH(E77,'Dashboard Items'!$A$2:$A$495,0))=D77),INDEX('Dashboard Items'!$C$2:$C$495,MATCH(E77,'Dashboard Items'!$A$2:$A$495,0)),"Level does not match ID")),"ID not found"))</f>
        <v/>
      </c>
      <c r="G77" s="385" t="inlineStr">
        <is>
          <t>ks3</t>
        </is>
      </c>
      <c r="H77" s="384">
        <f>IF(G77="","",IF(ISNUMBER(SEARCH(",",G77)),"Several items (the script lists them)",IFERROR(INDEX('Dashboard Items'!$B$2:$B$495,MATCH(G77,'Dashboard Items'!$A$2:$A$495,0))&amp;": "&amp;INDEX('Dashboard Items'!$C$2:$C$495,MATCH(G77,'Dashboard Items'!$A$2:$A$495,0)),"ID not found")))</f>
        <v/>
      </c>
      <c r="I77" s="383" t="n"/>
      <c r="J77" s="383" t="n"/>
      <c r="K77" s="383" t="n"/>
      <c r="L77" s="383" t="n"/>
      <c r="M77" s="383" t="n"/>
      <c r="N77" s="383" t="n"/>
      <c r="O77" s="383" t="inlineStr">
        <is>
          <t>Yes</t>
        </is>
      </c>
      <c r="P77" s="383" t="inlineStr">
        <is>
          <t>Every year</t>
        </is>
      </c>
      <c r="Q77" s="383" t="n"/>
      <c r="R77" s="383" t="n"/>
      <c r="S77" s="383" t="n"/>
      <c r="T77" s="383" t="n"/>
      <c r="U77" s="355">
        <f>IF(B77="","",IF(IF(D77&lt;&gt;"",D77,IFERROR(INDEX('Dashboard Items'!$B$2:$B$495,MATCH(E77,'Dashboard Items'!$A$2:$A$495,0)),""))="Key Service",IF(O77="No","Key Service: shown, not counted","Counts in Key Service gauge"),IF(IF(D77&lt;&gt;"",D77,IFERROR(INDEX('Dashboard Items'!$B$2:$B$495,MATCH(E77,'Dashboard Items'!$A$2:$A$495,0)),""))="Program",IF(ISNUMBER(SEARCH("ks",G77)),IF(O77="No","Program, also at Key Service: not counted","Counts in Key Service gauge + sets Program chip"),IF(O77="No","Program: shown, no status chip","Sets Program status chip")),IF(IF(D77&lt;&gt;"",D77,IFERROR(INDEX('Dashboard Items'!$B$2:$B$495,MATCH(E77,'Dashboard Items'!$A$2:$A$495,0)),""))="Work System","Work System: shown, not counted","Check Level"))))</f>
        <v/>
      </c>
    </row>
    <row r="78" ht="15.75" customFormat="1" customHeight="1" s="377">
      <c r="A78" s="383">
        <f>LEFT(B78, FIND("-", B78) - 1)</f>
        <v/>
      </c>
      <c r="B78" s="383" t="inlineStr">
        <is>
          <t>PIO-VIEWERSHIP</t>
        </is>
      </c>
      <c r="C78" s="383" t="inlineStr">
        <is>
          <t>Website views + social media post link clicks + news letter open rate</t>
        </is>
      </c>
      <c r="D78" s="383" t="inlineStr">
        <is>
          <t>Program</t>
        </is>
      </c>
      <c r="E78" s="383" t="inlineStr">
        <is>
          <t>p11</t>
        </is>
      </c>
      <c r="F78" s="384">
        <f>IF(E78="","",IFERROR(IF(INDEX('Dashboard Items'!$B$2:$B$495,MATCH(E78,'Dashboard Items'!$A$2:$A$495,0))="Objective","Objectives go in the next column",IF(OR(D78="",INDEX('Dashboard Items'!$B$2:$B$495,MATCH(E78,'Dashboard Items'!$A$2:$A$495,0))=D78),INDEX('Dashboard Items'!$C$2:$C$495,MATCH(E78,'Dashboard Items'!$A$2:$A$495,0)),"Level does not match ID")),"ID not found"))</f>
        <v/>
      </c>
      <c r="G78" s="385" t="inlineStr">
        <is>
          <t>ks3</t>
        </is>
      </c>
      <c r="H78" s="384">
        <f>IF(G78="","",IF(ISNUMBER(SEARCH(",",G78)),"Several items (the script lists them)",IFERROR(INDEX('Dashboard Items'!$B$2:$B$495,MATCH(G78,'Dashboard Items'!$A$2:$A$495,0))&amp;": "&amp;INDEX('Dashboard Items'!$C$2:$C$495,MATCH(G78,'Dashboard Items'!$A$2:$A$495,0)),"ID not found")))</f>
        <v/>
      </c>
      <c r="I78" s="383" t="n"/>
      <c r="J78" s="383" t="n"/>
      <c r="K78" s="383" t="n"/>
      <c r="L78" s="383" t="n"/>
      <c r="M78" s="383" t="n"/>
      <c r="N78" s="383" t="n"/>
      <c r="O78" s="383" t="inlineStr">
        <is>
          <t>Yes</t>
        </is>
      </c>
      <c r="P78" s="383" t="inlineStr">
        <is>
          <t>Every year</t>
        </is>
      </c>
      <c r="Q78" s="383" t="n"/>
      <c r="R78" s="383" t="n"/>
      <c r="S78" s="383" t="n"/>
      <c r="T78" s="383" t="n"/>
      <c r="U78" s="355">
        <f>IF(B78="","",IF(IF(D78&lt;&gt;"",D78,IFERROR(INDEX('Dashboard Items'!$B$2:$B$495,MATCH(E78,'Dashboard Items'!$A$2:$A$495,0)),""))="Key Service",IF(O78="No","Key Service: shown, not counted","Counts in Key Service gauge"),IF(IF(D78&lt;&gt;"",D78,IFERROR(INDEX('Dashboard Items'!$B$2:$B$495,MATCH(E78,'Dashboard Items'!$A$2:$A$495,0)),""))="Program",IF(ISNUMBER(SEARCH("ks",G78)),IF(O78="No","Program, also at Key Service: not counted","Counts in Key Service gauge + sets Program chip"),IF(O78="No","Program: shown, no status chip","Sets Program status chip")),IF(IF(D78&lt;&gt;"",D78,IFERROR(INDEX('Dashboard Items'!$B$2:$B$495,MATCH(E78,'Dashboard Items'!$A$2:$A$495,0)),""))="Work System","Work System: shown, not counted","Check Level"))))</f>
        <v/>
      </c>
    </row>
    <row r="79" ht="15.75" customFormat="1" customHeight="1" s="377">
      <c r="A79" s="382">
        <f>LEFT(B79, FIND("-", B79) - 1)</f>
        <v/>
      </c>
      <c r="B79" s="386" t="inlineStr">
        <is>
          <t>PROS-ALLCOMMEVENTS</t>
        </is>
      </c>
      <c r="C79" s="387" t="inlineStr">
        <is>
          <t>All community events - segmented by total, produced and serviced.</t>
        </is>
      </c>
      <c r="D79" s="386" t="inlineStr">
        <is>
          <t>Key Service</t>
        </is>
      </c>
      <c r="E79" s="386" t="inlineStr">
        <is>
          <t>ks20</t>
        </is>
      </c>
      <c r="F79" s="388">
        <f>IF(E79="","",IFERROR(IF(INDEX('Dashboard Items'!$B$2:$B$495,MATCH(E79,'Dashboard Items'!$A$2:$A$495,0))="Objective","Objectives go in the next column",IF(OR(D79="",INDEX('Dashboard Items'!$B$2:$B$495,MATCH(E79,'Dashboard Items'!$A$2:$A$495,0))=D79),INDEX('Dashboard Items'!$C$2:$C$495,MATCH(E79,'Dashboard Items'!$A$2:$A$495,0)),"Level does not match ID")),"ID not found"))</f>
        <v/>
      </c>
      <c r="G79" s="389" t="inlineStr">
        <is>
          <t>p95</t>
        </is>
      </c>
      <c r="H79" s="388">
        <f>IF(G79="","",IF(ISNUMBER(SEARCH(",",G79)),"Several items (the script lists them)",IFERROR(INDEX('Dashboard Items'!$B$2:$B$495,MATCH(G79,'Dashboard Items'!$A$2:$A$495,0))&amp;": "&amp;INDEX('Dashboard Items'!$C$2:$C$495,MATCH(G79,'Dashboard Items'!$A$2:$A$495,0)),"ID not found")))</f>
        <v/>
      </c>
      <c r="I79" s="386" t="inlineStr">
        <is>
          <t>number</t>
        </is>
      </c>
      <c r="J79" s="386" t="n">
        <v>0</v>
      </c>
      <c r="K79" s="386" t="inlineStr">
        <is>
          <t>Yes</t>
        </is>
      </c>
      <c r="L79" s="386" t="inlineStr">
        <is>
          <t>Target</t>
        </is>
      </c>
      <c r="M79" s="386" t="n">
        <v>0</v>
      </c>
      <c r="N79" s="386" t="n">
        <v>0</v>
      </c>
      <c r="O79" s="386" t="inlineStr">
        <is>
          <t>Yes</t>
        </is>
      </c>
      <c r="P79" s="386" t="inlineStr">
        <is>
          <t>Every year</t>
        </is>
      </c>
      <c r="Q79" s="386" t="inlineStr">
        <is>
          <t>Prosperity Officer</t>
        </is>
      </c>
      <c r="R79" s="386" t="n"/>
      <c r="S79" s="386" t="inlineStr">
        <is>
          <t>Community events supported with City services such as production, facilities and equipment, each fiscal year.</t>
        </is>
      </c>
      <c r="T79" s="386" t="inlineStr">
        <is>
          <t>Target: 250 events, set from Customer Service portal and self-service capacity. Growth is limited by the calendar and the number of facilities available.</t>
        </is>
      </c>
      <c r="U79" s="355">
        <f>IF(B79="","",IF(IF(D79&lt;&gt;"",D79,IFERROR(INDEX('Dashboard Items'!$B$2:$B$495,MATCH(E79,'Dashboard Items'!$A$2:$A$495,0)),""))="Key Service",IF(O79="No","Key Service: shown, not counted","Counts in Key Service gauge"),IF(IF(D79&lt;&gt;"",D79,IFERROR(INDEX('Dashboard Items'!$B$2:$B$495,MATCH(E79,'Dashboard Items'!$A$2:$A$495,0)),""))="Program",IF(ISNUMBER(SEARCH("ks",G79)),IF(O79="No","Program, also at Key Service: not counted","Counts in Key Service gauge + sets Program chip"),IF(O79="No","Program: shown, no status chip","Sets Program status chip")),IF(IF(D79&lt;&gt;"",D79,IFERROR(INDEX('Dashboard Items'!$B$2:$B$495,MATCH(E79,'Dashboard Items'!$A$2:$A$495,0)),""))="Work System","Work System: shown, not counted","Check Level"))))</f>
        <v/>
      </c>
    </row>
    <row r="80" ht="15.75" customFormat="1" customHeight="1" s="377">
      <c r="A80" s="382">
        <f>LEFT(B80, FIND("-", B80) - 1)</f>
        <v/>
      </c>
      <c r="B80" s="386" t="inlineStr">
        <is>
          <t>PROS-COMMSURVEY</t>
        </is>
      </c>
      <c r="C80" s="387" t="inlineStr">
        <is>
          <t>Comm survey- have you attended an event?</t>
        </is>
      </c>
      <c r="D80" s="386" t="inlineStr">
        <is>
          <t>Program</t>
        </is>
      </c>
      <c r="E80" s="386" t="inlineStr">
        <is>
          <t>p95</t>
        </is>
      </c>
      <c r="F80" s="388">
        <f>IF(E80="","",IFERROR(IF(INDEX('Dashboard Items'!$B$2:$B$495,MATCH(E80,'Dashboard Items'!$A$2:$A$495,0))="Objective","Objectives go in the next column",IF(OR(D80="",INDEX('Dashboard Items'!$B$2:$B$495,MATCH(E80,'Dashboard Items'!$A$2:$A$495,0))=D80),INDEX('Dashboard Items'!$C$2:$C$495,MATCH(E80,'Dashboard Items'!$A$2:$A$495,0)),"Level does not match ID")),"ID not found"))</f>
        <v/>
      </c>
      <c r="G80" s="389" t="n"/>
      <c r="H80" s="388">
        <f>IF(G80="","",IF(ISNUMBER(SEARCH(",",G80)),"Several items (the script lists them)",IFERROR(INDEX('Dashboard Items'!$B$2:$B$495,MATCH(G80,'Dashboard Items'!$A$2:$A$495,0))&amp;": "&amp;INDEX('Dashboard Items'!$C$2:$C$495,MATCH(G80,'Dashboard Items'!$A$2:$A$495,0)),"ID not found")))</f>
        <v/>
      </c>
      <c r="I80" s="386" t="inlineStr">
        <is>
          <t>number</t>
        </is>
      </c>
      <c r="J80" s="386" t="n">
        <v>2</v>
      </c>
      <c r="K80" s="386" t="inlineStr">
        <is>
          <t>Yes</t>
        </is>
      </c>
      <c r="L80" s="386" t="inlineStr">
        <is>
          <t>Target</t>
        </is>
      </c>
      <c r="M80" s="386" t="n">
        <v>0</v>
      </c>
      <c r="N80" s="386" t="n">
        <v>0</v>
      </c>
      <c r="O80" s="386" t="inlineStr">
        <is>
          <t>Yes</t>
        </is>
      </c>
      <c r="P80" s="386" t="inlineStr">
        <is>
          <t>Every year</t>
        </is>
      </c>
      <c r="Q80" s="386" t="inlineStr">
        <is>
          <t>Prosperity Officer</t>
        </is>
      </c>
      <c r="R80" s="386" t="n"/>
      <c r="S80" s="386" t="n"/>
      <c r="T80" s="386" t="n"/>
      <c r="U80" s="355">
        <f>IF(B80="","",IF(IF(D80&lt;&gt;"",D80,IFERROR(INDEX('Dashboard Items'!$B$2:$B$495,MATCH(E80,'Dashboard Items'!$A$2:$A$495,0)),""))="Key Service",IF(O80="No","Key Service: shown, not counted","Counts in Key Service gauge"),IF(IF(D80&lt;&gt;"",D80,IFERROR(INDEX('Dashboard Items'!$B$2:$B$495,MATCH(E80,'Dashboard Items'!$A$2:$A$495,0)),""))="Program",IF(ISNUMBER(SEARCH("ks",G80)),IF(O80="No","Program, also at Key Service: not counted","Counts in Key Service gauge + sets Program chip"),IF(O80="No","Program: shown, no status chip","Sets Program status chip")),IF(IF(D80&lt;&gt;"",D80,IFERROR(INDEX('Dashboard Items'!$B$2:$B$495,MATCH(E80,'Dashboard Items'!$A$2:$A$495,0)),""))="Work System","Work System: shown, not counted","Check Level"))))</f>
        <v/>
      </c>
    </row>
    <row r="81" ht="15.75" customFormat="1" customHeight="1" s="377">
      <c r="A81" s="382">
        <f>LEFT(B81, FIND("-", B81) - 1)</f>
        <v/>
      </c>
      <c r="B81" s="386" t="inlineStr">
        <is>
          <t>PROS-GRANTAWARDED</t>
        </is>
      </c>
      <c r="C81" s="387" t="inlineStr">
        <is>
          <t>Number of grants awarded Annually</t>
        </is>
      </c>
      <c r="D81" s="386" t="inlineStr">
        <is>
          <t>Program</t>
        </is>
      </c>
      <c r="E81" s="386" t="inlineStr">
        <is>
          <t>p100</t>
        </is>
      </c>
      <c r="F81" s="388">
        <f>IF(E81="","",IFERROR(IF(INDEX('Dashboard Items'!$B$2:$B$495,MATCH(E81,'Dashboard Items'!$A$2:$A$495,0))="Objective","Objectives go in the next column",IF(OR(D81="",INDEX('Dashboard Items'!$B$2:$B$495,MATCH(E81,'Dashboard Items'!$A$2:$A$495,0))=D81),INDEX('Dashboard Items'!$C$2:$C$495,MATCH(E81,'Dashboard Items'!$A$2:$A$495,0)),"Level does not match ID")),"ID not found"))</f>
        <v/>
      </c>
      <c r="G81" s="389" t="n"/>
      <c r="H81" s="388">
        <f>IF(G81="","",IF(ISNUMBER(SEARCH(",",G81)),"Several items (the script lists them)",IFERROR(INDEX('Dashboard Items'!$B$2:$B$495,MATCH(G81,'Dashboard Items'!$A$2:$A$495,0))&amp;": "&amp;INDEX('Dashboard Items'!$C$2:$C$495,MATCH(G81,'Dashboard Items'!$A$2:$A$495,0)),"ID not found")))</f>
        <v/>
      </c>
      <c r="I81" s="386" t="inlineStr">
        <is>
          <t>number</t>
        </is>
      </c>
      <c r="J81" s="386" t="n">
        <v>2</v>
      </c>
      <c r="K81" s="386" t="inlineStr">
        <is>
          <t>Yes</t>
        </is>
      </c>
      <c r="L81" s="386" t="inlineStr">
        <is>
          <t>Target</t>
        </is>
      </c>
      <c r="M81" s="386" t="n">
        <v>0</v>
      </c>
      <c r="N81" s="386" t="n">
        <v>0</v>
      </c>
      <c r="O81" s="386" t="inlineStr">
        <is>
          <t>Yes</t>
        </is>
      </c>
      <c r="P81" s="386" t="inlineStr">
        <is>
          <t>Every year</t>
        </is>
      </c>
      <c r="Q81" s="386" t="inlineStr">
        <is>
          <t>Prosperity Officer</t>
        </is>
      </c>
      <c r="R81" s="386" t="n"/>
      <c r="S81" s="386" t="n"/>
      <c r="T81" s="386" t="n"/>
      <c r="U81" s="355">
        <f>IF(B81="","",IF(IF(D81&lt;&gt;"",D81,IFERROR(INDEX('Dashboard Items'!$B$2:$B$495,MATCH(E81,'Dashboard Items'!$A$2:$A$495,0)),""))="Key Service",IF(O81="No","Key Service: shown, not counted","Counts in Key Service gauge"),IF(IF(D81&lt;&gt;"",D81,IFERROR(INDEX('Dashboard Items'!$B$2:$B$495,MATCH(E81,'Dashboard Items'!$A$2:$A$495,0)),""))="Program",IF(ISNUMBER(SEARCH("ks",G81)),IF(O81="No","Program, also at Key Service: not counted","Counts in Key Service gauge + sets Program chip"),IF(O81="No","Program: shown, no status chip","Sets Program status chip")),IF(IF(D81&lt;&gt;"",D81,IFERROR(INDEX('Dashboard Items'!$B$2:$B$495,MATCH(E81,'Dashboard Items'!$A$2:$A$495,0)),""))="Work System","Work System: shown, not counted","Check Level"))))</f>
        <v/>
      </c>
    </row>
    <row r="82" ht="15.75" customFormat="1" customHeight="1" s="377">
      <c r="A82" s="382">
        <f>LEFT(B82, FIND("-", B82) - 1)</f>
        <v/>
      </c>
      <c r="B82" s="386" t="inlineStr">
        <is>
          <t>PROS-LOCALSPEND</t>
        </is>
      </c>
      <c r="C82" s="387" t="inlineStr">
        <is>
          <t>Local Spend from grants awarded Annually</t>
        </is>
      </c>
      <c r="D82" s="386" t="inlineStr">
        <is>
          <t>Program</t>
        </is>
      </c>
      <c r="E82" s="386" t="inlineStr">
        <is>
          <t>p100</t>
        </is>
      </c>
      <c r="F82" s="388">
        <f>IF(E82="","",IFERROR(IF(INDEX('Dashboard Items'!$B$2:$B$495,MATCH(E82,'Dashboard Items'!$A$2:$A$495,0))="Objective","Objectives go in the next column",IF(OR(D82="",INDEX('Dashboard Items'!$B$2:$B$495,MATCH(E82,'Dashboard Items'!$A$2:$A$495,0))=D82),INDEX('Dashboard Items'!$C$2:$C$495,MATCH(E82,'Dashboard Items'!$A$2:$A$495,0)),"Level does not match ID")),"ID not found"))</f>
        <v/>
      </c>
      <c r="G82" s="389" t="n"/>
      <c r="H82" s="388">
        <f>IF(G82="","",IF(ISNUMBER(SEARCH(",",G82)),"Several items (the script lists them)",IFERROR(INDEX('Dashboard Items'!$B$2:$B$495,MATCH(G82,'Dashboard Items'!$A$2:$A$495,0))&amp;": "&amp;INDEX('Dashboard Items'!$C$2:$C$495,MATCH(G82,'Dashboard Items'!$A$2:$A$495,0)),"ID not found")))</f>
        <v/>
      </c>
      <c r="I82" s="386" t="inlineStr">
        <is>
          <t>currency</t>
        </is>
      </c>
      <c r="J82" s="386" t="n">
        <v>0</v>
      </c>
      <c r="K82" s="386" t="inlineStr">
        <is>
          <t>Yes</t>
        </is>
      </c>
      <c r="L82" s="386" t="inlineStr">
        <is>
          <t>Target</t>
        </is>
      </c>
      <c r="M82" s="386" t="n">
        <v>0</v>
      </c>
      <c r="N82" s="386" t="n">
        <v>0</v>
      </c>
      <c r="O82" s="386" t="inlineStr">
        <is>
          <t>Yes</t>
        </is>
      </c>
      <c r="P82" s="386" t="inlineStr">
        <is>
          <t>Every year</t>
        </is>
      </c>
      <c r="Q82" s="386" t="inlineStr">
        <is>
          <t>Prosperity Officer</t>
        </is>
      </c>
      <c r="R82" s="386" t="inlineStr">
        <is>
          <t>Submittable grant reimbursement forms (local spend reported), with some manual adjustments</t>
        </is>
      </c>
      <c r="S82" s="386" t="inlineStr">
        <is>
          <t>Money spent locally by grant recipients, as reported on their reimbursement forms, for Lodgers' Tax Arts and Culture, Local Event Marketing, Re:New and Durango Creates! grants. Counted by the year of the grant round.</t>
        </is>
      </c>
      <c r="T82" s="386" t="n"/>
      <c r="U82" s="355">
        <f>IF(B82="","",IF(IF(D82&lt;&gt;"",D82,IFERROR(INDEX('Dashboard Items'!$B$2:$B$495,MATCH(E82,'Dashboard Items'!$A$2:$A$495,0)),""))="Key Service",IF(O82="No","Key Service: shown, not counted","Counts in Key Service gauge"),IF(IF(D82&lt;&gt;"",D82,IFERROR(INDEX('Dashboard Items'!$B$2:$B$495,MATCH(E82,'Dashboard Items'!$A$2:$A$495,0)),""))="Program",IF(ISNUMBER(SEARCH("ks",G82)),IF(O82="No","Program, also at Key Service: not counted","Counts in Key Service gauge + sets Program chip"),IF(O82="No","Program: shown, no status chip","Sets Program status chip")),IF(IF(D82&lt;&gt;"",D82,IFERROR(INDEX('Dashboard Items'!$B$2:$B$495,MATCH(E82,'Dashboard Items'!$A$2:$A$495,0)),""))="Work System","Work System: shown, not counted","Check Level"))))</f>
        <v/>
      </c>
    </row>
    <row r="83" ht="15.75" customFormat="1" customHeight="1" s="377">
      <c r="A83" s="382">
        <f>LEFT(B83, FIND("-", B83) - 1)</f>
        <v/>
      </c>
      <c r="B83" s="386" t="inlineStr">
        <is>
          <t>PROS-NIGHTONTOUR</t>
        </is>
      </c>
      <c r="C83" s="387" t="inlineStr">
        <is>
          <t>Total Nights on Tour Sales (annual)</t>
        </is>
      </c>
      <c r="D83" s="386" t="inlineStr">
        <is>
          <t>Program</t>
        </is>
      </c>
      <c r="E83" s="386" t="inlineStr">
        <is>
          <t>p40</t>
        </is>
      </c>
      <c r="F83" s="388">
        <f>IF(E83="","",IFERROR(IF(INDEX('Dashboard Items'!$B$2:$B$495,MATCH(E83,'Dashboard Items'!$A$2:$A$495,0))="Objective","Objectives go in the next column",IF(OR(D83="",INDEX('Dashboard Items'!$B$2:$B$495,MATCH(E83,'Dashboard Items'!$A$2:$A$495,0))=D83),INDEX('Dashboard Items'!$C$2:$C$495,MATCH(E83,'Dashboard Items'!$A$2:$A$495,0)),"Level does not match ID")),"ID not found"))</f>
        <v/>
      </c>
      <c r="G83" s="389" t="inlineStr">
        <is>
          <t>p43</t>
        </is>
      </c>
      <c r="H83" s="388">
        <f>IF(G83="","",IF(ISNUMBER(SEARCH(",",G83)),"Several items (the script lists them)",IFERROR(INDEX('Dashboard Items'!$B$2:$B$495,MATCH(G83,'Dashboard Items'!$A$2:$A$495,0))&amp;": "&amp;INDEX('Dashboard Items'!$C$2:$C$495,MATCH(G83,'Dashboard Items'!$A$2:$A$495,0)),"ID not found")))</f>
        <v/>
      </c>
      <c r="I83" s="386" t="inlineStr">
        <is>
          <t>number</t>
        </is>
      </c>
      <c r="J83" s="386" t="n">
        <v>0</v>
      </c>
      <c r="K83" s="386" t="inlineStr">
        <is>
          <t>Yes</t>
        </is>
      </c>
      <c r="L83" s="386" t="inlineStr">
        <is>
          <t>Target</t>
        </is>
      </c>
      <c r="M83" s="386" t="n">
        <v>0</v>
      </c>
      <c r="N83" s="386" t="n">
        <v>0</v>
      </c>
      <c r="O83" s="386" t="inlineStr">
        <is>
          <t>Yes</t>
        </is>
      </c>
      <c r="P83" s="386" t="inlineStr">
        <is>
          <t>Every year</t>
        </is>
      </c>
      <c r="Q83" s="386" t="inlineStr">
        <is>
          <t>Prosperity Officer</t>
        </is>
      </c>
      <c r="R83" s="386" t="n"/>
      <c r="S83" s="386" t="inlineStr">
        <is>
          <t>Room nights sold during the year to new tour companies, meeting planners and FIT (independent traveler) contracts, including nights booked now for stays in later years.</t>
        </is>
      </c>
      <c r="T83" s="386" t="inlineStr">
        <is>
          <t>Counts new organizations only. Ongoing accounts are not included; for example, the two Tauck Tours series sold in 2024 bring about 400 room nights a year but are not in the 2026 count.</t>
        </is>
      </c>
      <c r="U83" s="355">
        <f>IF(B83="","",IF(IF(D83&lt;&gt;"",D83,IFERROR(INDEX('Dashboard Items'!$B$2:$B$495,MATCH(E83,'Dashboard Items'!$A$2:$A$495,0)),""))="Key Service",IF(O83="No","Key Service: shown, not counted","Counts in Key Service gauge"),IF(IF(D83&lt;&gt;"",D83,IFERROR(INDEX('Dashboard Items'!$B$2:$B$495,MATCH(E83,'Dashboard Items'!$A$2:$A$495,0)),""))="Program",IF(ISNUMBER(SEARCH("ks",G83)),IF(O83="No","Program, also at Key Service: not counted","Counts in Key Service gauge + sets Program chip"),IF(O83="No","Program: shown, no status chip","Sets Program status chip")),IF(IF(D83&lt;&gt;"",D83,IFERROR(INDEX('Dashboard Items'!$B$2:$B$495,MATCH(E83,'Dashboard Items'!$A$2:$A$495,0)),""))="Work System","Work System: shown, not counted","Check Level"))))</f>
        <v/>
      </c>
    </row>
    <row r="84" ht="15.75" customFormat="1" customHeight="1" s="377">
      <c r="A84" s="382">
        <f>LEFT(B84, FIND("-", B84) - 1)</f>
        <v/>
      </c>
      <c r="B84" s="386" t="inlineStr">
        <is>
          <t>PROS-OCCRATE</t>
        </is>
      </c>
      <c r="C84" s="387" t="inlineStr">
        <is>
          <t>Occupancy Rate (Year over Year Quarterly)</t>
        </is>
      </c>
      <c r="D84" s="386" t="inlineStr">
        <is>
          <t>Key Service</t>
        </is>
      </c>
      <c r="E84" s="386" t="inlineStr">
        <is>
          <t>ks9</t>
        </is>
      </c>
      <c r="F84" s="388">
        <f>IF(E84="","",IFERROR(IF(INDEX('Dashboard Items'!$B$2:$B$495,MATCH(E84,'Dashboard Items'!$A$2:$A$495,0))="Objective","Objectives go in the next column",IF(OR(D84="",INDEX('Dashboard Items'!$B$2:$B$495,MATCH(E84,'Dashboard Items'!$A$2:$A$495,0))=D84),INDEX('Dashboard Items'!$C$2:$C$495,MATCH(E84,'Dashboard Items'!$A$2:$A$495,0)),"Level does not match ID")),"ID not found"))</f>
        <v/>
      </c>
      <c r="G84" s="389" t="inlineStr">
        <is>
          <t>p100, p43</t>
        </is>
      </c>
      <c r="H84" s="388">
        <f>IF(G84="","",IF(ISNUMBER(SEARCH(",",G84)),"Several items (the script lists them)",IFERROR(INDEX('Dashboard Items'!$B$2:$B$495,MATCH(G84,'Dashboard Items'!$A$2:$A$495,0))&amp;": "&amp;INDEX('Dashboard Items'!$C$2:$C$495,MATCH(G84,'Dashboard Items'!$A$2:$A$495,0)),"ID not found")))</f>
        <v/>
      </c>
      <c r="I84" s="386" t="inlineStr">
        <is>
          <t>percent</t>
        </is>
      </c>
      <c r="J84" s="386" t="n">
        <v>2</v>
      </c>
      <c r="K84" s="386" t="inlineStr">
        <is>
          <t>Yes</t>
        </is>
      </c>
      <c r="L84" s="386" t="inlineStr">
        <is>
          <t>Target</t>
        </is>
      </c>
      <c r="M84" s="386" t="n">
        <v>0</v>
      </c>
      <c r="N84" s="386" t="n">
        <v>0</v>
      </c>
      <c r="O84" s="386" t="inlineStr">
        <is>
          <t>Yes</t>
        </is>
      </c>
      <c r="P84" s="386" t="inlineStr">
        <is>
          <t>Every year</t>
        </is>
      </c>
      <c r="Q84" s="386" t="inlineStr">
        <is>
          <t>Prosperity Officer</t>
        </is>
      </c>
      <c r="R84" s="386" t="n"/>
      <c r="S84" s="386" t="n"/>
      <c r="T84" s="386" t="n"/>
      <c r="U84" s="355">
        <f>IF(B84="","",IF(IF(D84&lt;&gt;"",D84,IFERROR(INDEX('Dashboard Items'!$B$2:$B$495,MATCH(E84,'Dashboard Items'!$A$2:$A$495,0)),""))="Key Service",IF(O84="No","Key Service: shown, not counted","Counts in Key Service gauge"),IF(IF(D84&lt;&gt;"",D84,IFERROR(INDEX('Dashboard Items'!$B$2:$B$495,MATCH(E84,'Dashboard Items'!$A$2:$A$495,0)),""))="Program",IF(ISNUMBER(SEARCH("ks",G84)),IF(O84="No","Program, also at Key Service: not counted","Counts in Key Service gauge + sets Program chip"),IF(O84="No","Program: shown, no status chip","Sets Program status chip")),IF(IF(D84&lt;&gt;"",D84,IFERROR(INDEX('Dashboard Items'!$B$2:$B$495,MATCH(E84,'Dashboard Items'!$A$2:$A$495,0)),""))="Work System","Work System: shown, not counted","Check Level"))))</f>
        <v/>
      </c>
    </row>
    <row r="85" ht="15.75" customFormat="1" customHeight="1" s="377">
      <c r="A85" s="382">
        <f>LEFT(B85, FIND("-", B85) - 1)</f>
        <v/>
      </c>
      <c r="B85" s="386" t="inlineStr">
        <is>
          <t>PROS-PERMITNUM</t>
        </is>
      </c>
      <c r="C85" s="387" t="inlineStr">
        <is>
          <t>Number of Permits Issued (Activity, Parks, Banners)</t>
        </is>
      </c>
      <c r="D85" s="386" t="inlineStr">
        <is>
          <t>Program</t>
        </is>
      </c>
      <c r="E85" s="386" t="inlineStr">
        <is>
          <t>p95</t>
        </is>
      </c>
      <c r="F85" s="388">
        <f>IF(E85="","",IFERROR(IF(INDEX('Dashboard Items'!$B$2:$B$495,MATCH(E85,'Dashboard Items'!$A$2:$A$495,0))="Objective","Objectives go in the next column",IF(OR(D85="",INDEX('Dashboard Items'!$B$2:$B$495,MATCH(E85,'Dashboard Items'!$A$2:$A$495,0))=D85),INDEX('Dashboard Items'!$C$2:$C$495,MATCH(E85,'Dashboard Items'!$A$2:$A$495,0)),"Level does not match ID")),"ID not found"))</f>
        <v/>
      </c>
      <c r="G85" s="389" t="n"/>
      <c r="H85" s="388">
        <f>IF(G85="","",IF(ISNUMBER(SEARCH(",",G85)),"Several items (the script lists them)",IFERROR(INDEX('Dashboard Items'!$B$2:$B$495,MATCH(G85,'Dashboard Items'!$A$2:$A$495,0))&amp;": "&amp;INDEX('Dashboard Items'!$C$2:$C$495,MATCH(G85,'Dashboard Items'!$A$2:$A$495,0)),"ID not found")))</f>
        <v/>
      </c>
      <c r="I85" s="386" t="inlineStr">
        <is>
          <t>number</t>
        </is>
      </c>
      <c r="J85" s="386" t="n">
        <v>0</v>
      </c>
      <c r="K85" s="386" t="inlineStr">
        <is>
          <t>Yes</t>
        </is>
      </c>
      <c r="L85" s="386" t="inlineStr">
        <is>
          <t>Target</t>
        </is>
      </c>
      <c r="M85" s="386" t="n">
        <v>0</v>
      </c>
      <c r="N85" s="386" t="n">
        <v>0</v>
      </c>
      <c r="O85" s="386" t="inlineStr">
        <is>
          <t>Yes</t>
        </is>
      </c>
      <c r="P85" s="386" t="inlineStr">
        <is>
          <t>Every year</t>
        </is>
      </c>
      <c r="Q85" s="386" t="inlineStr">
        <is>
          <t>Prosperity Officer</t>
        </is>
      </c>
      <c r="R85" s="386" t="n"/>
      <c r="S85" s="386" t="inlineStr">
        <is>
          <t>Community event permits issued each fiscal year.</t>
        </is>
      </c>
      <c r="T85" s="386" t="inlineStr">
        <is>
          <t>Target: 240 permits, set from Customer Service portal and self-service capacity. Growth is limited by the calendar and the number of facilities available. Counts community event permits only; activity, park and banner permits are not included yet.</t>
        </is>
      </c>
      <c r="U85" s="355">
        <f>IF(B85="","",IF(IF(D85&lt;&gt;"",D85,IFERROR(INDEX('Dashboard Items'!$B$2:$B$495,MATCH(E85,'Dashboard Items'!$A$2:$A$495,0)),""))="Key Service",IF(O85="No","Key Service: shown, not counted","Counts in Key Service gauge"),IF(IF(D85&lt;&gt;"",D85,IFERROR(INDEX('Dashboard Items'!$B$2:$B$495,MATCH(E85,'Dashboard Items'!$A$2:$A$495,0)),""))="Program",IF(ISNUMBER(SEARCH("ks",G85)),IF(O85="No","Program, also at Key Service: not counted","Counts in Key Service gauge + sets Program chip"),IF(O85="No","Program: shown, no status chip","Sets Program status chip")),IF(IF(D85&lt;&gt;"",D85,IFERROR(INDEX('Dashboard Items'!$B$2:$B$495,MATCH(E85,'Dashboard Items'!$A$2:$A$495,0)),""))="Work System","Work System: shown, not counted","Check Level"))))</f>
        <v/>
      </c>
    </row>
    <row r="86" ht="15.75" customFormat="1" customHeight="1" s="377">
      <c r="A86" s="382">
        <f>LEFT(B86, FIND("-", B86) - 1)</f>
        <v/>
      </c>
      <c r="B86" s="386" t="inlineStr">
        <is>
          <t>PROS-PROP123</t>
        </is>
      </c>
      <c r="C86" s="387" t="inlineStr">
        <is>
          <t>Building Permits Issued Under Prop 123</t>
        </is>
      </c>
      <c r="D86" s="386" t="inlineStr">
        <is>
          <t>Program</t>
        </is>
      </c>
      <c r="E86" s="386" t="inlineStr">
        <is>
          <t>p37</t>
        </is>
      </c>
      <c r="F86" s="388">
        <f>IF(E86="","",IFERROR(IF(INDEX('Dashboard Items'!$B$2:$B$495,MATCH(E86,'Dashboard Items'!$A$2:$A$495,0))="Objective","Objectives go in the next column",IF(OR(D86="",INDEX('Dashboard Items'!$B$2:$B$495,MATCH(E86,'Dashboard Items'!$A$2:$A$495,0))=D86),INDEX('Dashboard Items'!$C$2:$C$495,MATCH(E86,'Dashboard Items'!$A$2:$A$495,0)),"Level does not match ID")),"ID not found"))</f>
        <v/>
      </c>
      <c r="G86" s="389" t="n"/>
      <c r="H86" s="388">
        <f>IF(G86="","",IF(ISNUMBER(SEARCH(",",G86)),"Several items (the script lists them)",IFERROR(INDEX('Dashboard Items'!$B$2:$B$495,MATCH(G86,'Dashboard Items'!$A$2:$A$495,0))&amp;": "&amp;INDEX('Dashboard Items'!$C$2:$C$495,MATCH(G86,'Dashboard Items'!$A$2:$A$495,0)),"ID not found")))</f>
        <v/>
      </c>
      <c r="I86" s="386" t="inlineStr">
        <is>
          <t>number</t>
        </is>
      </c>
      <c r="J86" s="386" t="n">
        <v>2</v>
      </c>
      <c r="K86" s="386" t="inlineStr">
        <is>
          <t>Yes</t>
        </is>
      </c>
      <c r="L86" s="386" t="inlineStr">
        <is>
          <t>Target</t>
        </is>
      </c>
      <c r="M86" s="386" t="n">
        <v>0</v>
      </c>
      <c r="N86" s="386" t="n">
        <v>0</v>
      </c>
      <c r="O86" s="386" t="inlineStr">
        <is>
          <t>Yes</t>
        </is>
      </c>
      <c r="P86" s="386" t="inlineStr">
        <is>
          <t>Every year</t>
        </is>
      </c>
      <c r="Q86" s="386" t="inlineStr">
        <is>
          <t>Prosperity Officer</t>
        </is>
      </c>
      <c r="R86" s="386" t="n"/>
      <c r="S86" s="386" t="n"/>
      <c r="T86" s="386" t="inlineStr">
        <is>
          <t>Benchmark is the goal of 99 by 2029</t>
        </is>
      </c>
      <c r="U86" s="355">
        <f>IF(B86="","",IF(IF(D86&lt;&gt;"",D86,IFERROR(INDEX('Dashboard Items'!$B$2:$B$495,MATCH(E86,'Dashboard Items'!$A$2:$A$495,0)),""))="Key Service",IF(O86="No","Key Service: shown, not counted","Counts in Key Service gauge"),IF(IF(D86&lt;&gt;"",D86,IFERROR(INDEX('Dashboard Items'!$B$2:$B$495,MATCH(E86,'Dashboard Items'!$A$2:$A$495,0)),""))="Program",IF(ISNUMBER(SEARCH("ks",G86)),IF(O86="No","Program, also at Key Service: not counted","Counts in Key Service gauge + sets Program chip"),IF(O86="No","Program: shown, no status chip","Sets Program status chip")),IF(IF(D86&lt;&gt;"",D86,IFERROR(INDEX('Dashboard Items'!$B$2:$B$495,MATCH(E86,'Dashboard Items'!$A$2:$A$495,0)),""))="Work System","Work System: shown, not counted","Check Level"))))</f>
        <v/>
      </c>
    </row>
    <row r="87" ht="15.75" customFormat="1" customHeight="1" s="377">
      <c r="A87" s="382">
        <f>LEFT(B87, FIND("-", B87) - 1)</f>
        <v/>
      </c>
      <c r="B87" s="386" t="inlineStr">
        <is>
          <t>PROS-REGULATEDUNITS</t>
        </is>
      </c>
      <c r="C87" s="387" t="inlineStr">
        <is>
          <t>Total Regulated Affordable Housing Units</t>
        </is>
      </c>
      <c r="D87" s="386" t="inlineStr">
        <is>
          <t>Key Service</t>
        </is>
      </c>
      <c r="E87" s="386" t="inlineStr">
        <is>
          <t>ks8</t>
        </is>
      </c>
      <c r="F87" s="388">
        <f>IF(E87="","",IFERROR(IF(INDEX('Dashboard Items'!$B$2:$B$495,MATCH(E87,'Dashboard Items'!$A$2:$A$495,0))="Objective","Objectives go in the next column",IF(OR(D87="",INDEX('Dashboard Items'!$B$2:$B$495,MATCH(E87,'Dashboard Items'!$A$2:$A$495,0))=D87),INDEX('Dashboard Items'!$C$2:$C$495,MATCH(E87,'Dashboard Items'!$A$2:$A$495,0)),"Level does not match ID")),"ID not found"))</f>
        <v/>
      </c>
      <c r="G87" s="389" t="inlineStr">
        <is>
          <t>p37</t>
        </is>
      </c>
      <c r="H87" s="388">
        <f>IF(G87="","",IF(ISNUMBER(SEARCH(",",G87)),"Several items (the script lists them)",IFERROR(INDEX('Dashboard Items'!$B$2:$B$495,MATCH(G87,'Dashboard Items'!$A$2:$A$495,0))&amp;": "&amp;INDEX('Dashboard Items'!$C$2:$C$495,MATCH(G87,'Dashboard Items'!$A$2:$A$495,0)),"ID not found")))</f>
        <v/>
      </c>
      <c r="I87" s="386" t="inlineStr">
        <is>
          <t>number</t>
        </is>
      </c>
      <c r="J87" s="386" t="n">
        <v>0</v>
      </c>
      <c r="K87" s="386" t="inlineStr">
        <is>
          <t>Yes</t>
        </is>
      </c>
      <c r="L87" s="386" t="inlineStr">
        <is>
          <t>Target</t>
        </is>
      </c>
      <c r="M87" s="386" t="n">
        <v>0</v>
      </c>
      <c r="N87" s="386" t="n">
        <v>0</v>
      </c>
      <c r="O87" s="386" t="inlineStr">
        <is>
          <t>Yes</t>
        </is>
      </c>
      <c r="P87" s="386" t="inlineStr">
        <is>
          <t>Every year</t>
        </is>
      </c>
      <c r="Q87" s="386" t="inlineStr">
        <is>
          <t>Prosperity Officer</t>
        </is>
      </c>
      <c r="R87" s="386" t="n"/>
      <c r="S87" s="386" t="n"/>
      <c r="T87" s="386" t="inlineStr">
        <is>
          <t>Counts homes with a formal affordability agreement on record with the City, by the year each property was completed. Mixed-income developments count only their income-restricted units. Another 114+ units are planned through City partnerships but not yet built.</t>
        </is>
      </c>
      <c r="U87" s="355">
        <f>IF(B87="","",IF(IF(D87&lt;&gt;"",D87,IFERROR(INDEX('Dashboard Items'!$B$2:$B$495,MATCH(E87,'Dashboard Items'!$A$2:$A$495,0)),""))="Key Service",IF(O87="No","Key Service: shown, not counted","Counts in Key Service gauge"),IF(IF(D87&lt;&gt;"",D87,IFERROR(INDEX('Dashboard Items'!$B$2:$B$495,MATCH(E87,'Dashboard Items'!$A$2:$A$495,0)),""))="Program",IF(ISNUMBER(SEARCH("ks",G87)),IF(O87="No","Program, also at Key Service: not counted","Counts in Key Service gauge + sets Program chip"),IF(O87="No","Program: shown, no status chip","Sets Program status chip")),IF(IF(D87&lt;&gt;"",D87,IFERROR(INDEX('Dashboard Items'!$B$2:$B$495,MATCH(E87,'Dashboard Items'!$A$2:$A$495,0)),""))="Work System","Work System: shown, not counted","Check Level"))))</f>
        <v/>
      </c>
    </row>
    <row r="88" ht="15.75" customFormat="1" customHeight="1" s="377">
      <c r="A88" s="382">
        <f>LEFT(B88, FIND("-", B88) - 1)</f>
        <v/>
      </c>
      <c r="B88" s="386" t="inlineStr">
        <is>
          <t>PROS-RESBUILPERMIT</t>
        </is>
      </c>
      <c r="C88" s="387" t="inlineStr">
        <is>
          <t>Total Residential Budilding Permits</t>
        </is>
      </c>
      <c r="D88" s="386" t="inlineStr">
        <is>
          <t>Program</t>
        </is>
      </c>
      <c r="E88" s="386" t="inlineStr">
        <is>
          <t>p37</t>
        </is>
      </c>
      <c r="F88" s="388">
        <f>IF(E88="","",IFERROR(IF(INDEX('Dashboard Items'!$B$2:$B$495,MATCH(E88,'Dashboard Items'!$A$2:$A$495,0))="Objective","Objectives go in the next column",IF(OR(D88="",INDEX('Dashboard Items'!$B$2:$B$495,MATCH(E88,'Dashboard Items'!$A$2:$A$495,0))=D88),INDEX('Dashboard Items'!$C$2:$C$495,MATCH(E88,'Dashboard Items'!$A$2:$A$495,0)),"Level does not match ID")),"ID not found"))</f>
        <v/>
      </c>
      <c r="G88" s="389" t="n"/>
      <c r="H88" s="388">
        <f>IF(G88="","",IF(ISNUMBER(SEARCH(",",G88)),"Several items (the script lists them)",IFERROR(INDEX('Dashboard Items'!$B$2:$B$495,MATCH(G88,'Dashboard Items'!$A$2:$A$495,0))&amp;": "&amp;INDEX('Dashboard Items'!$C$2:$C$495,MATCH(G88,'Dashboard Items'!$A$2:$A$495,0)),"ID not found")))</f>
        <v/>
      </c>
      <c r="I88" s="386" t="inlineStr">
        <is>
          <t>number</t>
        </is>
      </c>
      <c r="J88" s="386" t="n">
        <v>2</v>
      </c>
      <c r="K88" s="386" t="inlineStr">
        <is>
          <t>Yes</t>
        </is>
      </c>
      <c r="L88" s="386" t="inlineStr">
        <is>
          <t>Target</t>
        </is>
      </c>
      <c r="M88" s="386" t="n">
        <v>0</v>
      </c>
      <c r="N88" s="386" t="n">
        <v>0</v>
      </c>
      <c r="O88" s="386" t="inlineStr">
        <is>
          <t>Yes</t>
        </is>
      </c>
      <c r="P88" s="386" t="inlineStr">
        <is>
          <t>Every year</t>
        </is>
      </c>
      <c r="Q88" s="386" t="inlineStr">
        <is>
          <t>Prosperity Officer</t>
        </is>
      </c>
      <c r="R88" s="386" t="n"/>
      <c r="S88" s="386" t="n"/>
      <c r="T88" s="386" t="n"/>
      <c r="U88" s="355">
        <f>IF(B88="","",IF(IF(D88&lt;&gt;"",D88,IFERROR(INDEX('Dashboard Items'!$B$2:$B$495,MATCH(E88,'Dashboard Items'!$A$2:$A$495,0)),""))="Key Service",IF(O88="No","Key Service: shown, not counted","Counts in Key Service gauge"),IF(IF(D88&lt;&gt;"",D88,IFERROR(INDEX('Dashboard Items'!$B$2:$B$495,MATCH(E88,'Dashboard Items'!$A$2:$A$495,0)),""))="Program",IF(ISNUMBER(SEARCH("ks",G88)),IF(O88="No","Program, also at Key Service: not counted","Counts in Key Service gauge + sets Program chip"),IF(O88="No","Program: shown, no status chip","Sets Program status chip")),IF(IF(D88&lt;&gt;"",D88,IFERROR(INDEX('Dashboard Items'!$B$2:$B$495,MATCH(E88,'Dashboard Items'!$A$2:$A$495,0)),""))="Work System","Work System: shown, not counted","Check Level"))))</f>
        <v/>
      </c>
    </row>
    <row r="89" ht="15.75" customFormat="1" customHeight="1" s="377">
      <c r="A89" s="382">
        <f>LEFT(B89, FIND("-", B89) - 1)</f>
        <v/>
      </c>
      <c r="B89" s="386" t="inlineStr">
        <is>
          <t>PROS-URAINCOME</t>
        </is>
      </c>
      <c r="C89" s="387" t="inlineStr">
        <is>
          <t>Annual URA Income as a rate of growth - broken out individually by URA and total</t>
        </is>
      </c>
      <c r="D89" s="386" t="inlineStr">
        <is>
          <t>Key Service</t>
        </is>
      </c>
      <c r="E89" s="386" t="inlineStr">
        <is>
          <t>ks9</t>
        </is>
      </c>
      <c r="F89" s="388">
        <f>IF(E89="","",IFERROR(IF(INDEX('Dashboard Items'!$B$2:$B$495,MATCH(E89,'Dashboard Items'!$A$2:$A$495,0))="Objective","Objectives go in the next column",IF(OR(D89="",INDEX('Dashboard Items'!$B$2:$B$495,MATCH(E89,'Dashboard Items'!$A$2:$A$495,0))=D89),INDEX('Dashboard Items'!$C$2:$C$495,MATCH(E89,'Dashboard Items'!$A$2:$A$495,0)),"Level does not match ID")),"ID not found"))</f>
        <v/>
      </c>
      <c r="G89" s="389" t="inlineStr">
        <is>
          <t>p100, p40</t>
        </is>
      </c>
      <c r="H89" s="388">
        <f>IF(G89="","",IF(ISNUMBER(SEARCH(",",G89)),"Several items (the script lists them)",IFERROR(INDEX('Dashboard Items'!$B$2:$B$495,MATCH(G89,'Dashboard Items'!$A$2:$A$495,0))&amp;": "&amp;INDEX('Dashboard Items'!$C$2:$C$495,MATCH(G89,'Dashboard Items'!$A$2:$A$495,0)),"ID not found")))</f>
        <v/>
      </c>
      <c r="I89" s="386" t="inlineStr">
        <is>
          <t>percent</t>
        </is>
      </c>
      <c r="J89" s="386" t="n">
        <v>2</v>
      </c>
      <c r="K89" s="386" t="inlineStr">
        <is>
          <t>Yes</t>
        </is>
      </c>
      <c r="L89" s="386" t="inlineStr">
        <is>
          <t>Target</t>
        </is>
      </c>
      <c r="M89" s="386" t="n">
        <v>0</v>
      </c>
      <c r="N89" s="386" t="n">
        <v>0</v>
      </c>
      <c r="O89" s="386" t="inlineStr">
        <is>
          <t>Yes</t>
        </is>
      </c>
      <c r="P89" s="386" t="inlineStr">
        <is>
          <t>Every year</t>
        </is>
      </c>
      <c r="Q89" s="386" t="inlineStr">
        <is>
          <t>Prosperity Officer</t>
        </is>
      </c>
      <c r="R89" s="386" t="n"/>
      <c r="S89" s="386" t="n"/>
      <c r="T89" s="386" t="n"/>
      <c r="U89" s="355">
        <f>IF(B89="","",IF(IF(D89&lt;&gt;"",D89,IFERROR(INDEX('Dashboard Items'!$B$2:$B$495,MATCH(E89,'Dashboard Items'!$A$2:$A$495,0)),""))="Key Service",IF(O89="No","Key Service: shown, not counted","Counts in Key Service gauge"),IF(IF(D89&lt;&gt;"",D89,IFERROR(INDEX('Dashboard Items'!$B$2:$B$495,MATCH(E89,'Dashboard Items'!$A$2:$A$495,0)),""))="Program",IF(ISNUMBER(SEARCH("ks",G89)),IF(O89="No","Program, also at Key Service: not counted","Counts in Key Service gauge + sets Program chip"),IF(O89="No","Program: shown, no status chip","Sets Program status chip")),IF(IF(D89&lt;&gt;"",D89,IFERROR(INDEX('Dashboard Items'!$B$2:$B$495,MATCH(E89,'Dashboard Items'!$A$2:$A$495,0)),""))="Work System","Work System: shown, not counted","Check Level"))))</f>
        <v/>
      </c>
    </row>
    <row r="90" ht="15.75" customFormat="1" customHeight="1" s="377">
      <c r="A90" s="382">
        <f>LEFT(B90, FIND("-", B90) - 1)</f>
        <v/>
      </c>
      <c r="B90" s="386" t="inlineStr">
        <is>
          <t>PROS-VISITORSPEND</t>
        </is>
      </c>
      <c r="C90" s="387" t="inlineStr">
        <is>
          <t>Visitor Spend (Annual Year over Year)</t>
        </is>
      </c>
      <c r="D90" s="386" t="inlineStr">
        <is>
          <t>Program</t>
        </is>
      </c>
      <c r="E90" s="386" t="inlineStr">
        <is>
          <t>p40</t>
        </is>
      </c>
      <c r="F90" s="388">
        <f>IF(E90="","",IFERROR(IF(INDEX('Dashboard Items'!$B$2:$B$495,MATCH(E90,'Dashboard Items'!$A$2:$A$495,0))="Objective","Objectives go in the next column",IF(OR(D90="",INDEX('Dashboard Items'!$B$2:$B$495,MATCH(E90,'Dashboard Items'!$A$2:$A$495,0))=D90),INDEX('Dashboard Items'!$C$2:$C$495,MATCH(E90,'Dashboard Items'!$A$2:$A$495,0)),"Level does not match ID")),"ID not found"))</f>
        <v/>
      </c>
      <c r="G90" s="389" t="inlineStr">
        <is>
          <t>p43, ks9</t>
        </is>
      </c>
      <c r="H90" s="388">
        <f>IF(G90="","",IF(ISNUMBER(SEARCH(",",G90)),"Several items (the script lists them)",IFERROR(INDEX('Dashboard Items'!$B$2:$B$495,MATCH(G90,'Dashboard Items'!$A$2:$A$495,0))&amp;": "&amp;INDEX('Dashboard Items'!$C$2:$C$495,MATCH(G90,'Dashboard Items'!$A$2:$A$495,0)),"ID not found")))</f>
        <v/>
      </c>
      <c r="I90" s="386" t="inlineStr">
        <is>
          <t>number</t>
        </is>
      </c>
      <c r="J90" s="386" t="n">
        <v>2</v>
      </c>
      <c r="K90" s="386" t="inlineStr">
        <is>
          <t>Yes</t>
        </is>
      </c>
      <c r="L90" s="386" t="inlineStr">
        <is>
          <t>Target</t>
        </is>
      </c>
      <c r="M90" s="386" t="n">
        <v>0</v>
      </c>
      <c r="N90" s="386" t="n">
        <v>0</v>
      </c>
      <c r="O90" s="386" t="inlineStr">
        <is>
          <t>Yes</t>
        </is>
      </c>
      <c r="P90" s="386" t="inlineStr">
        <is>
          <t>Every year</t>
        </is>
      </c>
      <c r="Q90" s="386" t="inlineStr">
        <is>
          <t>Prosperity Officer</t>
        </is>
      </c>
      <c r="R90" s="386" t="n"/>
      <c r="S90" s="386" t="n"/>
      <c r="T90" s="386" t="n"/>
      <c r="U90" s="355">
        <f>IF(B90="","",IF(IF(D90&lt;&gt;"",D90,IFERROR(INDEX('Dashboard Items'!$B$2:$B$495,MATCH(E90,'Dashboard Items'!$A$2:$A$495,0)),""))="Key Service",IF(O90="No","Key Service: shown, not counted","Counts in Key Service gauge"),IF(IF(D90&lt;&gt;"",D90,IFERROR(INDEX('Dashboard Items'!$B$2:$B$495,MATCH(E90,'Dashboard Items'!$A$2:$A$495,0)),""))="Program",IF(ISNUMBER(SEARCH("ks",G90)),IF(O90="No","Program, also at Key Service: not counted","Counts in Key Service gauge + sets Program chip"),IF(O90="No","Program: shown, no status chip","Sets Program status chip")),IF(IF(D90&lt;&gt;"",D90,IFERROR(INDEX('Dashboard Items'!$B$2:$B$495,MATCH(E90,'Dashboard Items'!$A$2:$A$495,0)),""))="Work System","Work System: shown, not counted","Check Level"))))</f>
        <v/>
      </c>
    </row>
    <row r="91" ht="15.75" customFormat="1" customHeight="1" s="377">
      <c r="A91" s="382">
        <f>LEFT(B91, FIND("-", B91) - 1)</f>
        <v/>
      </c>
      <c r="B91" s="386" t="inlineStr">
        <is>
          <t>PROS-WELCOMECENT</t>
        </is>
      </c>
      <c r="C91" s="387" t="inlineStr">
        <is>
          <t>Welcome Center Door Count</t>
        </is>
      </c>
      <c r="D91" s="386" t="inlineStr">
        <is>
          <t>Program</t>
        </is>
      </c>
      <c r="E91" s="386" t="inlineStr">
        <is>
          <t>p40</t>
        </is>
      </c>
      <c r="F91" s="388">
        <f>IF(E91="","",IFERROR(IF(INDEX('Dashboard Items'!$B$2:$B$495,MATCH(E91,'Dashboard Items'!$A$2:$A$495,0))="Objective","Objectives go in the next column",IF(OR(D91="",INDEX('Dashboard Items'!$B$2:$B$495,MATCH(E91,'Dashboard Items'!$A$2:$A$495,0))=D91),INDEX('Dashboard Items'!$C$2:$C$495,MATCH(E91,'Dashboard Items'!$A$2:$A$495,0)),"Level does not match ID")),"ID not found"))</f>
        <v/>
      </c>
      <c r="G91" s="389" t="inlineStr">
        <is>
          <t>p43</t>
        </is>
      </c>
      <c r="H91" s="388">
        <f>IF(G91="","",IF(ISNUMBER(SEARCH(",",G91)),"Several items (the script lists them)",IFERROR(INDEX('Dashboard Items'!$B$2:$B$495,MATCH(G91,'Dashboard Items'!$A$2:$A$495,0))&amp;": "&amp;INDEX('Dashboard Items'!$C$2:$C$495,MATCH(G91,'Dashboard Items'!$A$2:$A$495,0)),"ID not found")))</f>
        <v/>
      </c>
      <c r="I91" s="386" t="inlineStr">
        <is>
          <t>number</t>
        </is>
      </c>
      <c r="J91" s="386" t="n">
        <v>2</v>
      </c>
      <c r="K91" s="386" t="inlineStr">
        <is>
          <t>Yes</t>
        </is>
      </c>
      <c r="L91" s="386" t="inlineStr">
        <is>
          <t>Target</t>
        </is>
      </c>
      <c r="M91" s="386" t="n">
        <v>0</v>
      </c>
      <c r="N91" s="386" t="n">
        <v>0</v>
      </c>
      <c r="O91" s="386" t="inlineStr">
        <is>
          <t>Yes</t>
        </is>
      </c>
      <c r="P91" s="386" t="inlineStr">
        <is>
          <t>Every year</t>
        </is>
      </c>
      <c r="Q91" s="386" t="inlineStr">
        <is>
          <t>Prosperity Officer</t>
        </is>
      </c>
      <c r="R91" s="386" t="n"/>
      <c r="S91" s="386" t="n"/>
      <c r="T91" s="386" t="n"/>
      <c r="U91" s="355">
        <f>IF(B91="","",IF(IF(D91&lt;&gt;"",D91,IFERROR(INDEX('Dashboard Items'!$B$2:$B$495,MATCH(E91,'Dashboard Items'!$A$2:$A$495,0)),""))="Key Service",IF(O91="No","Key Service: shown, not counted","Counts in Key Service gauge"),IF(IF(D91&lt;&gt;"",D91,IFERROR(INDEX('Dashboard Items'!$B$2:$B$495,MATCH(E91,'Dashboard Items'!$A$2:$A$495,0)),""))="Program",IF(ISNUMBER(SEARCH("ks",G91)),IF(O91="No","Program, also at Key Service: not counted","Counts in Key Service gauge + sets Program chip"),IF(O91="No","Program: shown, no status chip","Sets Program status chip")),IF(IF(D91&lt;&gt;"",D91,IFERROR(INDEX('Dashboard Items'!$B$2:$B$495,MATCH(E91,'Dashboard Items'!$A$2:$A$495,0)),""))="Work System","Work System: shown, not counted","Check Level"))))</f>
        <v/>
      </c>
    </row>
    <row r="92" ht="15.75" customFormat="1" customHeight="1" s="377">
      <c r="A92" s="390">
        <f>LEFT(B92, FIND("-", B92) - 1)</f>
        <v/>
      </c>
      <c r="B92" s="390" t="inlineStr">
        <is>
          <t>TRAN-BIKEANDSWLINFT</t>
        </is>
      </c>
      <c r="C92" s="390" t="inlineStr">
        <is>
          <t>Linear feet/miles of bike lanes and sidewalks by road classification</t>
        </is>
      </c>
      <c r="D92" s="390" t="inlineStr">
        <is>
          <t>Program</t>
        </is>
      </c>
      <c r="E92" s="390" t="inlineStr">
        <is>
          <t>p71</t>
        </is>
      </c>
      <c r="F92" s="391">
        <f>IF(E92="","",IFERROR(IF(INDEX('Dashboard Items'!$B$2:$B$495,MATCH(E92,'Dashboard Items'!$A$2:$A$495,0))="Objective","Objectives go in the next column",IF(OR(D92="",INDEX('Dashboard Items'!$B$2:$B$495,MATCH(E92,'Dashboard Items'!$A$2:$A$495,0))=D92),INDEX('Dashboard Items'!$C$2:$C$495,MATCH(E92,'Dashboard Items'!$A$2:$A$495,0)),"Level does not match ID")),"ID not found"))</f>
        <v/>
      </c>
      <c r="G92" s="392" t="inlineStr">
        <is>
          <t>ks14</t>
        </is>
      </c>
      <c r="H92" s="391">
        <f>IF(G92="","",IF(ISNUMBER(SEARCH(",",G92)),"Several items (the script lists them)",IFERROR(INDEX('Dashboard Items'!$B$2:$B$495,MATCH(G92,'Dashboard Items'!$A$2:$A$495,0))&amp;": "&amp;INDEX('Dashboard Items'!$C$2:$C$495,MATCH(G92,'Dashboard Items'!$A$2:$A$495,0)),"ID not found")))</f>
        <v/>
      </c>
      <c r="I92" s="390" t="inlineStr">
        <is>
          <t>number</t>
        </is>
      </c>
      <c r="J92" s="390" t="n">
        <v>2</v>
      </c>
      <c r="K92" s="390" t="inlineStr">
        <is>
          <t>Yes</t>
        </is>
      </c>
      <c r="L92" s="390" t="inlineStr">
        <is>
          <t>Target</t>
        </is>
      </c>
      <c r="M92" s="390" t="n">
        <v>0</v>
      </c>
      <c r="N92" s="390" t="n">
        <v>0</v>
      </c>
      <c r="O92" s="390" t="inlineStr">
        <is>
          <t>Yes</t>
        </is>
      </c>
      <c r="P92" s="390" t="inlineStr">
        <is>
          <t>Every year</t>
        </is>
      </c>
      <c r="Q92" s="390" t="inlineStr">
        <is>
          <t>Multimodal Manager</t>
        </is>
      </c>
      <c r="R92" s="390" t="n"/>
      <c r="S92" s="390" t="n"/>
      <c r="T92" s="390" t="n"/>
      <c r="U92" s="355">
        <f>IF(B92="","",IF(IF(D92&lt;&gt;"",D92,IFERROR(INDEX('Dashboard Items'!$B$2:$B$495,MATCH(E92,'Dashboard Items'!$A$2:$A$495,0)),""))="Key Service",IF(O92="No","Key Service: shown, not counted","Counts in Key Service gauge"),IF(IF(D92&lt;&gt;"",D92,IFERROR(INDEX('Dashboard Items'!$B$2:$B$495,MATCH(E92,'Dashboard Items'!$A$2:$A$495,0)),""))="Program",IF(ISNUMBER(SEARCH("ks",G92)),IF(O92="No","Program, also at Key Service: not counted","Counts in Key Service gauge + sets Program chip"),IF(O92="No","Program: shown, no status chip","Sets Program status chip")),IF(IF(D92&lt;&gt;"",D92,IFERROR(INDEX('Dashboard Items'!$B$2:$B$495,MATCH(E92,'Dashboard Items'!$A$2:$A$495,0)),""))="Work System","Work System: shown, not counted","Check Level"))))</f>
        <v/>
      </c>
    </row>
    <row r="93" ht="15.75" customFormat="1" customHeight="1" s="377">
      <c r="A93" s="390">
        <f>LEFT(B93, FIND("-", B93) - 1)</f>
        <v/>
      </c>
      <c r="B93" s="390" t="inlineStr">
        <is>
          <t>TRAN-BIKEPEDCOUNT</t>
        </is>
      </c>
      <c r="C93" s="390" t="inlineStr">
        <is>
          <t>Bi-annual bike and pedestrian counts</t>
        </is>
      </c>
      <c r="D93" s="390" t="inlineStr">
        <is>
          <t>Program</t>
        </is>
      </c>
      <c r="E93" s="390" t="inlineStr">
        <is>
          <t>p71</t>
        </is>
      </c>
      <c r="F93" s="391">
        <f>IF(E93="","",IFERROR(IF(INDEX('Dashboard Items'!$B$2:$B$495,MATCH(E93,'Dashboard Items'!$A$2:$A$495,0))="Objective","Objectives go in the next column",IF(OR(D93="",INDEX('Dashboard Items'!$B$2:$B$495,MATCH(E93,'Dashboard Items'!$A$2:$A$495,0))=D93),INDEX('Dashboard Items'!$C$2:$C$495,MATCH(E93,'Dashboard Items'!$A$2:$A$495,0)),"Level does not match ID")),"ID not found"))</f>
        <v/>
      </c>
      <c r="G93" s="392" t="n"/>
      <c r="H93" s="391">
        <f>IF(G93="","",IF(ISNUMBER(SEARCH(",",G93)),"Several items (the script lists them)",IFERROR(INDEX('Dashboard Items'!$B$2:$B$495,MATCH(G93,'Dashboard Items'!$A$2:$A$495,0))&amp;": "&amp;INDEX('Dashboard Items'!$C$2:$C$495,MATCH(G93,'Dashboard Items'!$A$2:$A$495,0)),"ID not found")))</f>
        <v/>
      </c>
      <c r="I93" s="390" t="inlineStr">
        <is>
          <t>number</t>
        </is>
      </c>
      <c r="J93" s="390" t="n">
        <v>0</v>
      </c>
      <c r="K93" s="390" t="inlineStr">
        <is>
          <t>Yes</t>
        </is>
      </c>
      <c r="L93" s="390" t="n"/>
      <c r="M93" s="390" t="n"/>
      <c r="N93" s="390" t="n"/>
      <c r="O93" s="390" t="n"/>
      <c r="P93" s="390" t="inlineStr">
        <is>
          <t>Every 2 years</t>
        </is>
      </c>
      <c r="Q93" s="390" t="inlineStr">
        <is>
          <t>Multimodal Manager</t>
        </is>
      </c>
      <c r="R93" s="390" t="inlineStr">
        <is>
          <t>City bike and pedestrian counts (Consolidated Count Data, 2009–2025)</t>
        </is>
      </c>
      <c r="S93" s="390" t="inlineStr">
        <is>
          <t>Average number of people walking and biking at each count location during the morning (7–9 am) and afternoon (4–6 pm) peak counts, added up across all locations. Higher numbers mean more people are walking and biking.</t>
        </is>
      </c>
      <c r="T93" s="390" t="inlineStr">
        <is>
          <t>Total of average bike and pedestrian counts at 11 intersections, counted every two years. Shown from 2015, the first year all 11 locations were counted.</t>
        </is>
      </c>
      <c r="U93" s="355">
        <f>IF(B93="","",IF(IF(D93&lt;&gt;"",D93,IFERROR(INDEX('Dashboard Items'!$B$2:$B$495,MATCH(E93,'Dashboard Items'!$A$2:$A$495,0)),""))="Key Service",IF(O93="No","Key Service: shown, not counted","Counts in Key Service gauge"),IF(IF(D93&lt;&gt;"",D93,IFERROR(INDEX('Dashboard Items'!$B$2:$B$495,MATCH(E93,'Dashboard Items'!$A$2:$A$495,0)),""))="Program",IF(ISNUMBER(SEARCH("ks",G93)),IF(O93="No","Program, also at Key Service: not counted","Counts in Key Service gauge + sets Program chip"),IF(O93="No","Program: shown, no status chip","Sets Program status chip")),IF(IF(D93&lt;&gt;"",D93,IFERROR(INDEX('Dashboard Items'!$B$2:$B$495,MATCH(E93,'Dashboard Items'!$A$2:$A$495,0)),""))="Work System","Work System: shown, not counted","Check Level"))))</f>
        <v/>
      </c>
    </row>
    <row r="94" ht="15.75" customFormat="1" customHeight="1" s="377">
      <c r="A94" s="390">
        <f>LEFT(B94, FIND("-", B94) - 1)</f>
        <v/>
      </c>
      <c r="B94" s="390" t="inlineStr">
        <is>
          <t>TRAN-CITATIONCLOSE</t>
        </is>
      </c>
      <c r="C94" s="390" t="inlineStr">
        <is>
          <t>Reasons for citations closure</t>
        </is>
      </c>
      <c r="D94" s="390" t="inlineStr">
        <is>
          <t>Program</t>
        </is>
      </c>
      <c r="E94" s="390" t="inlineStr">
        <is>
          <t>p75</t>
        </is>
      </c>
      <c r="F94" s="391">
        <f>IF(E94="","",IFERROR(IF(INDEX('Dashboard Items'!$B$2:$B$495,MATCH(E94,'Dashboard Items'!$A$2:$A$495,0))="Objective","Objectives go in the next column",IF(OR(D94="",INDEX('Dashboard Items'!$B$2:$B$495,MATCH(E94,'Dashboard Items'!$A$2:$A$495,0))=D94),INDEX('Dashboard Items'!$C$2:$C$495,MATCH(E94,'Dashboard Items'!$A$2:$A$495,0)),"Level does not match ID")),"ID not found"))</f>
        <v/>
      </c>
      <c r="G94" s="392" t="n"/>
      <c r="H94" s="391">
        <f>IF(G94="","",IF(ISNUMBER(SEARCH(",",G94)),"Several items (the script lists them)",IFERROR(INDEX('Dashboard Items'!$B$2:$B$495,MATCH(G94,'Dashboard Items'!$A$2:$A$495,0))&amp;": "&amp;INDEX('Dashboard Items'!$C$2:$C$495,MATCH(G94,'Dashboard Items'!$A$2:$A$495,0)),"ID not found")))</f>
        <v/>
      </c>
      <c r="I94" s="390" t="inlineStr">
        <is>
          <t>number</t>
        </is>
      </c>
      <c r="J94" s="390" t="n">
        <v>0</v>
      </c>
      <c r="K94" s="390" t="inlineStr">
        <is>
          <t>Yes</t>
        </is>
      </c>
      <c r="L94" s="390" t="inlineStr">
        <is>
          <t>Target</t>
        </is>
      </c>
      <c r="M94" s="390" t="n">
        <v>0</v>
      </c>
      <c r="N94" s="390" t="n">
        <v>0</v>
      </c>
      <c r="O94" s="390" t="inlineStr">
        <is>
          <t>Yes</t>
        </is>
      </c>
      <c r="P94" s="390" t="inlineStr">
        <is>
          <t>Every year</t>
        </is>
      </c>
      <c r="Q94" s="390" t="inlineStr">
        <is>
          <t>Parking Manager</t>
        </is>
      </c>
      <c r="R94" s="390" t="inlineStr">
        <is>
          <t>Parking citation closed reasons, yearly (Citation_Metrics_and_Data_.xlsx, 2018–2025)</t>
        </is>
      </c>
      <c r="S94" s="390" t="inlineStr">
        <is>
          <t>Parking citations closed without payment each year, by the reason they were closed (for example a warning, a registration issue or a meter malfunction).</t>
        </is>
      </c>
      <c r="T94" s="390" t="inlineStr">
        <is>
          <t>"Paid Wrong Plate (Mobile)" was first tracked in 2025. 2026 is not yet entered. No target has been set.</t>
        </is>
      </c>
      <c r="U94" s="355">
        <f>IF(B94="","",IF(IF(D94&lt;&gt;"",D94,IFERROR(INDEX('Dashboard Items'!$B$2:$B$495,MATCH(E94,'Dashboard Items'!$A$2:$A$495,0)),""))="Key Service",IF(O94="No","Key Service: shown, not counted","Counts in Key Service gauge"),IF(IF(D94&lt;&gt;"",D94,IFERROR(INDEX('Dashboard Items'!$B$2:$B$495,MATCH(E94,'Dashboard Items'!$A$2:$A$495,0)),""))="Program",IF(ISNUMBER(SEARCH("ks",G94)),IF(O94="No","Program, also at Key Service: not counted","Counts in Key Service gauge + sets Program chip"),IF(O94="No","Program: shown, no status chip","Sets Program status chip")),IF(IF(D94&lt;&gt;"",D94,IFERROR(INDEX('Dashboard Items'!$B$2:$B$495,MATCH(E94,'Dashboard Items'!$A$2:$A$495,0)),""))="Work System","Work System: shown, not counted","Check Level"))))</f>
        <v/>
      </c>
    </row>
    <row r="95" ht="15.75" customFormat="1" customHeight="1" s="377">
      <c r="A95" s="390">
        <f>LEFT(B95, FIND("-", B95) - 1)</f>
        <v/>
      </c>
      <c r="B95" s="390" t="inlineStr">
        <is>
          <t>TRAN-COMPSCORE</t>
        </is>
      </c>
      <c r="C95" s="390" t="inlineStr">
        <is>
          <t>Parking compliance count for the central business district</t>
        </is>
      </c>
      <c r="D95" s="390" t="inlineStr">
        <is>
          <t>Program</t>
        </is>
      </c>
      <c r="E95" s="390" t="inlineStr">
        <is>
          <t>p75</t>
        </is>
      </c>
      <c r="F95" s="391">
        <f>IF(E95="","",IFERROR(IF(INDEX('Dashboard Items'!$B$2:$B$495,MATCH(E95,'Dashboard Items'!$A$2:$A$495,0))="Objective","Objectives go in the next column",IF(OR(D95="",INDEX('Dashboard Items'!$B$2:$B$495,MATCH(E95,'Dashboard Items'!$A$2:$A$495,0))=D95),INDEX('Dashboard Items'!$C$2:$C$495,MATCH(E95,'Dashboard Items'!$A$2:$A$495,0)),"Level does not match ID")),"ID not found"))</f>
        <v/>
      </c>
      <c r="G95" s="392" t="n"/>
      <c r="H95" s="391">
        <f>IF(G95="","",IF(ISNUMBER(SEARCH(",",G95)),"Several items (the script lists them)",IFERROR(INDEX('Dashboard Items'!$B$2:$B$495,MATCH(G95,'Dashboard Items'!$A$2:$A$495,0))&amp;": "&amp;INDEX('Dashboard Items'!$C$2:$C$495,MATCH(G95,'Dashboard Items'!$A$2:$A$495,0)),"ID not found")))</f>
        <v/>
      </c>
      <c r="I95" s="390" t="inlineStr">
        <is>
          <t>percent</t>
        </is>
      </c>
      <c r="J95" s="390" t="n">
        <v>1</v>
      </c>
      <c r="K95" s="390" t="inlineStr">
        <is>
          <t>Yes</t>
        </is>
      </c>
      <c r="L95" s="390" t="inlineStr">
        <is>
          <t>Target</t>
        </is>
      </c>
      <c r="M95" s="390" t="n">
        <v>0</v>
      </c>
      <c r="N95" s="390" t="n">
        <v>0</v>
      </c>
      <c r="O95" s="390" t="inlineStr">
        <is>
          <t>Yes</t>
        </is>
      </c>
      <c r="P95" s="390" t="inlineStr">
        <is>
          <t>Every year</t>
        </is>
      </c>
      <c r="Q95" s="390" t="inlineStr">
        <is>
          <t>Parking Manager</t>
        </is>
      </c>
      <c r="R95" s="390" t="inlineStr">
        <is>
          <t>Downtown on-street meter compliance counts (Meter_Compliance_Count.xlsx, about five counts a month, 2021–Sep 2026)</t>
        </is>
      </c>
      <c r="S95" s="390" t="inlineStr">
        <is>
          <t>Share of cars parked at downtown meters that had paid or were exempt (accessible, government or free spaces) when counted. Higher is better.</t>
        </is>
      </c>
      <c r="T95" s="390" t="inlineStr">
        <is>
          <t>Target: 95% compliance; 100% is not realistic. Each year combines all counts taken that year, about 60 count days. 2026 covers January–September only (year to date).</t>
        </is>
      </c>
      <c r="U95" s="355">
        <f>IF(B95="","",IF(IF(D95&lt;&gt;"",D95,IFERROR(INDEX('Dashboard Items'!$B$2:$B$495,MATCH(E95,'Dashboard Items'!$A$2:$A$495,0)),""))="Key Service",IF(O95="No","Key Service: shown, not counted","Counts in Key Service gauge"),IF(IF(D95&lt;&gt;"",D95,IFERROR(INDEX('Dashboard Items'!$B$2:$B$495,MATCH(E95,'Dashboard Items'!$A$2:$A$495,0)),""))="Program",IF(ISNUMBER(SEARCH("ks",G95)),IF(O95="No","Program, also at Key Service: not counted","Counts in Key Service gauge + sets Program chip"),IF(O95="No","Program: shown, no status chip","Sets Program status chip")),IF(IF(D95&lt;&gt;"",D95,IFERROR(INDEX('Dashboard Items'!$B$2:$B$495,MATCH(E95,'Dashboard Items'!$A$2:$A$495,0)),""))="Work System","Work System: shown, not counted","Check Level"))))</f>
        <v/>
      </c>
    </row>
    <row r="96" ht="15.75" customFormat="1" customHeight="1" s="377">
      <c r="A96" s="390">
        <f>LEFT(B96, FIND("-", B96) - 1)</f>
        <v/>
      </c>
      <c r="B96" s="390" t="inlineStr">
        <is>
          <t>TRAN-CRASHDATA</t>
        </is>
      </c>
      <c r="C96" s="390" t="inlineStr">
        <is>
          <t>Crash data</t>
        </is>
      </c>
      <c r="D96" s="390" t="inlineStr">
        <is>
          <t>Program</t>
        </is>
      </c>
      <c r="E96" s="390" t="inlineStr">
        <is>
          <t>p71</t>
        </is>
      </c>
      <c r="F96" s="391">
        <f>IF(E96="","",IFERROR(IF(INDEX('Dashboard Items'!$B$2:$B$495,MATCH(E96,'Dashboard Items'!$A$2:$A$495,0))="Objective","Objectives go in the next column",IF(OR(D96="",INDEX('Dashboard Items'!$B$2:$B$495,MATCH(E96,'Dashboard Items'!$A$2:$A$495,0))=D96),INDEX('Dashboard Items'!$C$2:$C$495,MATCH(E96,'Dashboard Items'!$A$2:$A$495,0)),"Level does not match ID")),"ID not found"))</f>
        <v/>
      </c>
      <c r="G96" s="392" t="inlineStr">
        <is>
          <t>ks14</t>
        </is>
      </c>
      <c r="H96" s="391">
        <f>IF(G96="","",IF(ISNUMBER(SEARCH(",",G96)),"Several items (the script lists them)",IFERROR(INDEX('Dashboard Items'!$B$2:$B$495,MATCH(G96,'Dashboard Items'!$A$2:$A$495,0))&amp;": "&amp;INDEX('Dashboard Items'!$C$2:$C$495,MATCH(G96,'Dashboard Items'!$A$2:$A$495,0)),"ID not found")))</f>
        <v/>
      </c>
      <c r="I96" s="390" t="inlineStr">
        <is>
          <t>number</t>
        </is>
      </c>
      <c r="J96" s="390" t="n">
        <v>0</v>
      </c>
      <c r="K96" s="390" t="inlineStr">
        <is>
          <t>No</t>
        </is>
      </c>
      <c r="L96" s="390" t="inlineStr">
        <is>
          <t>Target</t>
        </is>
      </c>
      <c r="M96" s="390" t="n">
        <v>0</v>
      </c>
      <c r="N96" s="390" t="n">
        <v>0</v>
      </c>
      <c r="O96" s="390" t="inlineStr">
        <is>
          <t>Yes</t>
        </is>
      </c>
      <c r="P96" s="390" t="inlineStr">
        <is>
          <t>Every year</t>
        </is>
      </c>
      <c r="Q96" s="390" t="inlineStr">
        <is>
          <t>Multimodal Manager</t>
        </is>
      </c>
      <c r="R96" s="390" t="n"/>
      <c r="S96" s="390" t="inlineStr">
        <is>
          <t>Number of traffic crashes in which someone was injured or killed each fiscal year, including crashes involving pedestrians.</t>
        </is>
      </c>
      <c r="T96" s="390" t="inlineStr">
        <is>
          <t>Target: 10% fewer injury and fatal crashes than the previous year. Benchmark: 40.5 crashes, 10% below 2023. The approach follows Vision Zero principles: finding high-risk locations and underlying risk factors, and using proven fixes such as traffic calming, protected crossings and enforcement.</t>
        </is>
      </c>
      <c r="U96" s="355">
        <f>IF(B96="","",IF(IF(D96&lt;&gt;"",D96,IFERROR(INDEX('Dashboard Items'!$B$2:$B$495,MATCH(E96,'Dashboard Items'!$A$2:$A$495,0)),""))="Key Service",IF(O96="No","Key Service: shown, not counted","Counts in Key Service gauge"),IF(IF(D96&lt;&gt;"",D96,IFERROR(INDEX('Dashboard Items'!$B$2:$B$495,MATCH(E96,'Dashboard Items'!$A$2:$A$495,0)),""))="Program",IF(ISNUMBER(SEARCH("ks",G96)),IF(O96="No","Program, also at Key Service: not counted","Counts in Key Service gauge + sets Program chip"),IF(O96="No","Program: shown, no status chip","Sets Program status chip")),IF(IF(D96&lt;&gt;"",D96,IFERROR(INDEX('Dashboard Items'!$B$2:$B$495,MATCH(E96,'Dashboard Items'!$A$2:$A$495,0)),""))="Work System","Work System: shown, not counted","Check Level"))))</f>
        <v/>
      </c>
    </row>
    <row r="97" ht="15.75" customFormat="1" customHeight="1" s="377">
      <c r="A97" s="390">
        <f>LEFT(B97, FIND("-", B97) - 1)</f>
        <v/>
      </c>
      <c r="B97" s="390" t="inlineStr">
        <is>
          <t>TRAN-CUSTSAT</t>
        </is>
      </c>
      <c r="C97" s="390" t="inlineStr">
        <is>
          <t>Customer Satisfaction Ridership Survey</t>
        </is>
      </c>
      <c r="D97" s="390" t="inlineStr">
        <is>
          <t>Program</t>
        </is>
      </c>
      <c r="E97" s="390" t="inlineStr">
        <is>
          <t>p69</t>
        </is>
      </c>
      <c r="F97" s="391">
        <f>IF(E97="","",IFERROR(IF(INDEX('Dashboard Items'!$B$2:$B$495,MATCH(E97,'Dashboard Items'!$A$2:$A$495,0))="Objective","Objectives go in the next column",IF(OR(D97="",INDEX('Dashboard Items'!$B$2:$B$495,MATCH(E97,'Dashboard Items'!$A$2:$A$495,0))=D97),INDEX('Dashboard Items'!$C$2:$C$495,MATCH(E97,'Dashboard Items'!$A$2:$A$495,0)),"Level does not match ID")),"ID not found"))</f>
        <v/>
      </c>
      <c r="G97" s="392" t="n"/>
      <c r="H97" s="391" t="n"/>
      <c r="I97" s="390" t="n"/>
      <c r="J97" s="390" t="n"/>
      <c r="K97" s="390" t="n"/>
      <c r="L97" s="390" t="n"/>
      <c r="M97" s="390" t="n"/>
      <c r="N97" s="390" t="n"/>
      <c r="O97" s="390" t="n"/>
      <c r="P97" s="390" t="n"/>
      <c r="Q97" s="390" t="n"/>
      <c r="R97" s="390" t="n"/>
      <c r="S97" s="390" t="n"/>
      <c r="T97" s="390" t="n"/>
      <c r="U97" s="355" t="n"/>
    </row>
    <row r="98" ht="15.75" customFormat="1" customHeight="1" s="377">
      <c r="A98" s="390">
        <f>LEFT(B98, FIND("-", B98) - 1)</f>
        <v/>
      </c>
      <c r="B98" s="390" t="inlineStr">
        <is>
          <t>TRAN-DEPENDENCY</t>
        </is>
      </c>
      <c r="C98" s="390" t="inlineStr">
        <is>
          <t>Transit Dependency</t>
        </is>
      </c>
      <c r="D98" s="390" t="inlineStr">
        <is>
          <t>Program</t>
        </is>
      </c>
      <c r="E98" s="390" t="inlineStr">
        <is>
          <t>p73</t>
        </is>
      </c>
      <c r="F98" s="391">
        <f>IF(E98="","",IFERROR(IF(INDEX('Dashboard Items'!$B$2:$B$495,MATCH(E98,'Dashboard Items'!$A$2:$A$495,0))="Objective","Objectives go in the next column",IF(OR(D98="",INDEX('Dashboard Items'!$B$2:$B$495,MATCH(E98,'Dashboard Items'!$A$2:$A$495,0))=D98),INDEX('Dashboard Items'!$C$2:$C$495,MATCH(E98,'Dashboard Items'!$A$2:$A$495,0)),"Level does not match ID")),"ID not found"))</f>
        <v/>
      </c>
      <c r="G98" s="392" t="inlineStr">
        <is>
          <t>ks14</t>
        </is>
      </c>
      <c r="H98" s="391" t="n"/>
      <c r="I98" s="390" t="n"/>
      <c r="J98" s="390" t="n"/>
      <c r="K98" s="390" t="n"/>
      <c r="L98" s="390" t="n"/>
      <c r="M98" s="390" t="n"/>
      <c r="N98" s="390" t="n"/>
      <c r="O98" s="390" t="n"/>
      <c r="P98" s="390" t="n"/>
      <c r="Q98" s="390" t="n"/>
      <c r="R98" s="390" t="n"/>
      <c r="S98" s="390" t="n"/>
      <c r="T98" s="390" t="n"/>
      <c r="U98" s="355" t="n"/>
    </row>
    <row r="99" ht="15.75" customFormat="1" customHeight="1" s="377">
      <c r="A99" s="390">
        <f>LEFT(B99, FIND("-", B99) - 1)</f>
        <v/>
      </c>
      <c r="B99" s="390" t="inlineStr">
        <is>
          <t>TRAN-DESTANDORIGIN</t>
        </is>
      </c>
      <c r="C99" s="390" t="inlineStr">
        <is>
          <t>Destination and Origin</t>
        </is>
      </c>
      <c r="D99" s="390" t="inlineStr">
        <is>
          <t>Program</t>
        </is>
      </c>
      <c r="E99" s="390" t="inlineStr">
        <is>
          <t>p72</t>
        </is>
      </c>
      <c r="F99" s="391">
        <f>IF(E99="","",IFERROR(IF(INDEX('Dashboard Items'!$B$2:$B$495,MATCH(E99,'Dashboard Items'!$A$2:$A$495,0))="Objective","Objectives go in the next column",IF(OR(D99="",INDEX('Dashboard Items'!$B$2:$B$495,MATCH(E99,'Dashboard Items'!$A$2:$A$495,0))=D99),INDEX('Dashboard Items'!$C$2:$C$495,MATCH(E99,'Dashboard Items'!$A$2:$A$495,0)),"Level does not match ID")),"ID not found"))</f>
        <v/>
      </c>
      <c r="G99" s="392" t="n"/>
      <c r="H99" s="391" t="n"/>
      <c r="I99" s="390" t="n"/>
      <c r="J99" s="390" t="n"/>
      <c r="K99" s="390" t="n"/>
      <c r="L99" s="390" t="n"/>
      <c r="M99" s="390" t="n"/>
      <c r="N99" s="390" t="n"/>
      <c r="O99" s="390" t="n"/>
      <c r="P99" s="390" t="n"/>
      <c r="Q99" s="390" t="n"/>
      <c r="R99" s="390" t="n"/>
      <c r="S99" s="390" t="n"/>
      <c r="T99" s="390" t="n"/>
      <c r="U99" s="355" t="n"/>
    </row>
    <row r="100" ht="15.75" customFormat="1" customHeight="1" s="377">
      <c r="A100" s="390">
        <f>LEFT(B100, FIND("-", B100) - 1)</f>
        <v/>
      </c>
      <c r="B100" s="390" t="inlineStr">
        <is>
          <t>TRAN-FAREBOX</t>
        </is>
      </c>
      <c r="C100" s="390" t="inlineStr">
        <is>
          <t>Farebox Revenue</t>
        </is>
      </c>
      <c r="D100" s="390" t="inlineStr">
        <is>
          <t>Program</t>
        </is>
      </c>
      <c r="E100" s="390" t="inlineStr">
        <is>
          <t>p74</t>
        </is>
      </c>
      <c r="F100" s="391">
        <f>IF(E100="","",IFERROR(IF(INDEX('Dashboard Items'!$B$2:$B$495,MATCH(E100,'Dashboard Items'!$A$2:$A$495,0))="Objective","Objectives go in the next column",IF(OR(D100="",INDEX('Dashboard Items'!$B$2:$B$495,MATCH(E100,'Dashboard Items'!$A$2:$A$495,0))=D100),INDEX('Dashboard Items'!$C$2:$C$495,MATCH(E100,'Dashboard Items'!$A$2:$A$495,0)),"Level does not match ID")),"ID not found"))</f>
        <v/>
      </c>
      <c r="G100" s="392" t="n"/>
      <c r="H100" s="391" t="n"/>
      <c r="I100" s="390" t="inlineStr">
        <is>
          <t>currency</t>
        </is>
      </c>
      <c r="J100" s="390" t="n">
        <v>0</v>
      </c>
      <c r="K100" s="390" t="inlineStr">
        <is>
          <t>Yes</t>
        </is>
      </c>
      <c r="L100" s="390" t="inlineStr">
        <is>
          <t>Target</t>
        </is>
      </c>
      <c r="M100" s="390" t="n">
        <v>0</v>
      </c>
      <c r="N100" s="390" t="n">
        <v>0</v>
      </c>
      <c r="O100" s="390" t="inlineStr">
        <is>
          <t>Yes</t>
        </is>
      </c>
      <c r="P100" s="390" t="inlineStr">
        <is>
          <t>Every year</t>
        </is>
      </c>
      <c r="Q100" s="390" t="n"/>
      <c r="R100" s="390" t="inlineStr">
        <is>
          <t>Durango Transit monthly ridership report (Ridership_Demographics.xlsx, Jan 2019–Sep 2026)</t>
        </is>
      </c>
      <c r="S100" s="390" t="inlineStr">
        <is>
          <t>Fare dollars collected on the fixed routes (Loop and Trolley) each year.</t>
        </is>
      </c>
      <c r="T100" s="390" t="inlineStr">
        <is>
          <t>Target: higher than the previous year. At or above last year shows On Track; below it shows Off Track. Fixed routes only; Dial-A-Ride fares were not reported. August 2022 was fare-free, so no fares were collected that month. 2026 is January–September and is compared with the same months of 2025.</t>
        </is>
      </c>
      <c r="U100" s="355">
        <f>IF(B100="","",IF(IF(D100&lt;&gt;"",D100,IFERROR(INDEX('Dashboard Items'!$B$2:$B$495,MATCH(E100,'Dashboard Items'!$A$2:$A$495,0)),""))="Key Service",IF(O100="No","Key Service: shown, not counted","Counts in Key Service gauge"),IF(IF(D100&lt;&gt;"",D100,IFERROR(INDEX('Dashboard Items'!$B$2:$B$495,MATCH(E100,'Dashboard Items'!$A$2:$A$495,0)),""))="Program",IF(ISNUMBER(SEARCH("ks",G100)),IF(O100="No","Program, also at Key Service: not counted","Counts in Key Service gauge + sets Program chip"),IF(O100="No","Program: shown, no status chip","Sets Program status chip")),IF(IF(D100&lt;&gt;"",D100,IFERROR(INDEX('Dashboard Items'!$B$2:$B$495,MATCH(E100,'Dashboard Items'!$A$2:$A$495,0)),""))="Work System","Work System: shown, not counted","Check Level"))))</f>
        <v/>
      </c>
    </row>
    <row r="101" ht="16.5" customFormat="1" customHeight="1" s="350">
      <c r="A101" s="390">
        <f>LEFT(B101, FIND("-", B101) - 1)</f>
        <v/>
      </c>
      <c r="B101" s="390" t="inlineStr">
        <is>
          <t>TRAN-METDEMAND</t>
        </is>
      </c>
      <c r="C101" s="390" t="inlineStr">
        <is>
          <t>met demand</t>
        </is>
      </c>
      <c r="D101" s="390" t="inlineStr">
        <is>
          <t>Program</t>
        </is>
      </c>
      <c r="E101" s="390" t="inlineStr">
        <is>
          <t>p72</t>
        </is>
      </c>
      <c r="F101" s="391">
        <f>IF(E101="","",IFERROR(IF(INDEX('Dashboard Items'!$B$2:$B$495,MATCH(E101,'Dashboard Items'!$A$2:$A$495,0))="Objective","Objectives go in the next column",IF(OR(D101="",INDEX('Dashboard Items'!$B$2:$B$495,MATCH(E101,'Dashboard Items'!$A$2:$A$495,0))=D101),INDEX('Dashboard Items'!$C$2:$C$495,MATCH(E101,'Dashboard Items'!$A$2:$A$495,0)),"Level does not match ID")),"ID not found"))</f>
        <v/>
      </c>
      <c r="G101" s="392" t="n"/>
      <c r="H101" s="391" t="n"/>
      <c r="I101" s="390" t="n"/>
      <c r="J101" s="390" t="n"/>
      <c r="K101" s="390" t="n"/>
      <c r="L101" s="390" t="n"/>
      <c r="M101" s="390" t="n"/>
      <c r="N101" s="390" t="n"/>
      <c r="O101" s="390" t="n"/>
      <c r="P101" s="390" t="n"/>
      <c r="Q101" s="390" t="n"/>
      <c r="R101" s="390" t="n"/>
      <c r="S101" s="390" t="n"/>
      <c r="T101" s="390" t="n"/>
      <c r="U101" s="355" t="n"/>
    </row>
    <row r="102" ht="16.5" customFormat="1" customHeight="1" s="350">
      <c r="A102" s="390">
        <f>LEFT(B102, FIND("-", B102) - 1)</f>
        <v/>
      </c>
      <c r="B102" s="390" t="inlineStr">
        <is>
          <t>TRAN-MILEAGE</t>
        </is>
      </c>
      <c r="C102" s="390" t="inlineStr">
        <is>
          <t>Vehicle Mileage and hours total alongside cost</t>
        </is>
      </c>
      <c r="D102" s="390" t="inlineStr">
        <is>
          <t>Program</t>
        </is>
      </c>
      <c r="E102" s="390" t="inlineStr">
        <is>
          <t>p69</t>
        </is>
      </c>
      <c r="F102" s="391">
        <f>IF(E102="","",IFERROR(IF(INDEX('Dashboard Items'!$B$2:$B$495,MATCH(E102,'Dashboard Items'!$A$2:$A$495,0))="Objective","Objectives go in the next column",IF(OR(D102="",INDEX('Dashboard Items'!$B$2:$B$495,MATCH(E102,'Dashboard Items'!$A$2:$A$495,0))=D102),INDEX('Dashboard Items'!$C$2:$C$495,MATCH(E102,'Dashboard Items'!$A$2:$A$495,0)),"Level does not match ID")),"ID not found"))</f>
        <v/>
      </c>
      <c r="G102" s="392" t="n"/>
      <c r="H102" s="391" t="n"/>
      <c r="I102" s="390" t="inlineStr">
        <is>
          <t>number</t>
        </is>
      </c>
      <c r="J102" s="390" t="n">
        <v>0</v>
      </c>
      <c r="K102" s="390" t="inlineStr">
        <is>
          <t>Yes</t>
        </is>
      </c>
      <c r="L102" s="390" t="n"/>
      <c r="M102" s="390" t="n"/>
      <c r="N102" s="390" t="n"/>
      <c r="O102" s="390" t="n"/>
      <c r="P102" s="390" t="inlineStr">
        <is>
          <t>Every year</t>
        </is>
      </c>
      <c r="Q102" s="390" t="n"/>
      <c r="R102" s="390" t="inlineStr">
        <is>
          <t>Durango Transit monthly ridership report (Ridership_Demographics.xlsx, Jan 2019–Sep 2026)</t>
        </is>
      </c>
      <c r="S102" s="390" t="inlineStr">
        <is>
          <t>Vehicle miles and vehicle hours run each year across the Loop, Trolley and Dial-A-Ride.</t>
        </is>
      </c>
      <c r="T102" s="390" t="inlineStr">
        <is>
          <t>Shown as two segments, miles and hours. Cost data is not yet included. Recorded Trolley hours drop by about half from 2023, which may be a change in how hours are counted. 2026 covers January–September only (year to date). No target has been set.</t>
        </is>
      </c>
      <c r="U102" s="355">
        <f>IF(B102="","",IF(IF(D102&lt;&gt;"",D102,IFERROR(INDEX('Dashboard Items'!$B$2:$B$495,MATCH(E102,'Dashboard Items'!$A$2:$A$495,0)),""))="Key Service",IF(O102="No","Key Service: shown, not counted","Counts in Key Service gauge"),IF(IF(D102&lt;&gt;"",D102,IFERROR(INDEX('Dashboard Items'!$B$2:$B$495,MATCH(E102,'Dashboard Items'!$A$2:$A$495,0)),""))="Program",IF(ISNUMBER(SEARCH("ks",G102)),IF(O102="No","Program, also at Key Service: not counted","Counts in Key Service gauge + sets Program chip"),IF(O102="No","Program: shown, no status chip","Sets Program status chip")),IF(IF(D102&lt;&gt;"",D102,IFERROR(INDEX('Dashboard Items'!$B$2:$B$495,MATCH(E102,'Dashboard Items'!$A$2:$A$495,0)),""))="Work System","Work System: shown, not counted","Check Level"))))</f>
        <v/>
      </c>
    </row>
    <row r="103" ht="16.5" customFormat="1" customHeight="1" s="350">
      <c r="A103" s="390">
        <f>LEFT(B103, FIND("-", B103) - 1)</f>
        <v/>
      </c>
      <c r="B103" s="390" t="inlineStr">
        <is>
          <t>TRAN-PASSTYPE</t>
        </is>
      </c>
      <c r="C103" s="390" t="inlineStr">
        <is>
          <t>Pass type</t>
        </is>
      </c>
      <c r="D103" s="390" t="inlineStr">
        <is>
          <t>Program</t>
        </is>
      </c>
      <c r="E103" s="390" t="inlineStr">
        <is>
          <t>p74</t>
        </is>
      </c>
      <c r="F103" s="391">
        <f>IF(E103="","",IFERROR(IF(INDEX('Dashboard Items'!$B$2:$B$495,MATCH(E103,'Dashboard Items'!$A$2:$A$495,0))="Objective","Objectives go in the next column",IF(OR(D103="",INDEX('Dashboard Items'!$B$2:$B$495,MATCH(E103,'Dashboard Items'!$A$2:$A$495,0))=D103),INDEX('Dashboard Items'!$C$2:$C$495,MATCH(E103,'Dashboard Items'!$A$2:$A$495,0)),"Level does not match ID")),"ID not found"))</f>
        <v/>
      </c>
      <c r="G103" s="392" t="n"/>
      <c r="H103" s="391" t="n"/>
      <c r="I103" s="390" t="inlineStr">
        <is>
          <t>number</t>
        </is>
      </c>
      <c r="J103" s="390" t="n">
        <v>0</v>
      </c>
      <c r="K103" s="390" t="inlineStr">
        <is>
          <t>Yes</t>
        </is>
      </c>
      <c r="L103" s="390" t="inlineStr">
        <is>
          <t>Target</t>
        </is>
      </c>
      <c r="M103" s="390" t="n">
        <v>0</v>
      </c>
      <c r="N103" s="390" t="n">
        <v>0</v>
      </c>
      <c r="O103" s="390" t="inlineStr">
        <is>
          <t>Yes</t>
        </is>
      </c>
      <c r="P103" s="390" t="inlineStr">
        <is>
          <t>Every year</t>
        </is>
      </c>
      <c r="Q103" s="390" t="n"/>
      <c r="R103" s="390" t="inlineStr">
        <is>
          <t>Durango Transit monthly ridership report (Ridership_Demographics.xlsx, Jan 2019–Sep 2026)</t>
        </is>
      </c>
      <c r="S103" s="390" t="inlineStr">
        <is>
          <t>Fixed-route rides (Loop and Trolley) each year by how the rider paid: bus pass, Fort Lewis College ID, free ride or cash fare.</t>
        </is>
      </c>
      <c r="T103" s="390" t="inlineStr">
        <is>
          <t>Target: higher than the previous year. At or above last year shows On Track; below it shows Off Track. Fixed routes only; Dial-A-Ride payment data was not reported. August 2022 was fare-free. From June 2022 to March 2024 the Loop cash-fare counts are higher than the Loop rider counts, so 2022–2024 results are under review. 2026 is January–September and is compared with the same months of 2025.</t>
        </is>
      </c>
      <c r="U103" s="355">
        <f>IF(B103="","",IF(IF(D103&lt;&gt;"",D103,IFERROR(INDEX('Dashboard Items'!$B$2:$B$495,MATCH(E103,'Dashboard Items'!$A$2:$A$495,0)),""))="Key Service",IF(O103="No","Key Service: shown, not counted","Counts in Key Service gauge"),IF(IF(D103&lt;&gt;"",D103,IFERROR(INDEX('Dashboard Items'!$B$2:$B$495,MATCH(E103,'Dashboard Items'!$A$2:$A$495,0)),""))="Program",IF(ISNUMBER(SEARCH("ks",G103)),IF(O103="No","Program, also at Key Service: not counted","Counts in Key Service gauge + sets Program chip"),IF(O103="No","Program: shown, no status chip","Sets Program status chip")),IF(IF(D103&lt;&gt;"",D103,IFERROR(INDEX('Dashboard Items'!$B$2:$B$495,MATCH(E103,'Dashboard Items'!$A$2:$A$495,0)),""))="Work System","Work System: shown, not counted","Check Level"))))</f>
        <v/>
      </c>
    </row>
    <row r="104" ht="16.5" customFormat="1" customHeight="1" s="350">
      <c r="A104" s="390">
        <f>LEFT(B104, FIND("-", B104) - 1)</f>
        <v/>
      </c>
      <c r="B104" s="390" t="inlineStr">
        <is>
          <t>TRAN-RIDERSHIP</t>
        </is>
      </c>
      <c r="C104" s="390" t="inlineStr">
        <is>
          <t>Ridership (segmented by route)</t>
        </is>
      </c>
      <c r="D104" s="390" t="inlineStr">
        <is>
          <t>Program</t>
        </is>
      </c>
      <c r="E104" s="390" t="inlineStr">
        <is>
          <t>p69</t>
        </is>
      </c>
      <c r="F104" s="391">
        <f>IF(E104="","",IFERROR(IF(INDEX('Dashboard Items'!$B$2:$B$495,MATCH(E104,'Dashboard Items'!$A$2:$A$495,0))="Objective","Objectives go in the next column",IF(OR(D104="",INDEX('Dashboard Items'!$B$2:$B$495,MATCH(E104,'Dashboard Items'!$A$2:$A$495,0))=D104),INDEX('Dashboard Items'!$C$2:$C$495,MATCH(E104,'Dashboard Items'!$A$2:$A$495,0)),"Level does not match ID")),"ID not found"))</f>
        <v/>
      </c>
      <c r="G104" s="392" t="n"/>
      <c r="H104" s="391" t="n"/>
      <c r="I104" s="390" t="inlineStr">
        <is>
          <t>number</t>
        </is>
      </c>
      <c r="J104" s="390" t="n">
        <v>0</v>
      </c>
      <c r="K104" s="390" t="inlineStr">
        <is>
          <t>Yes</t>
        </is>
      </c>
      <c r="L104" s="390" t="inlineStr">
        <is>
          <t>Target</t>
        </is>
      </c>
      <c r="M104" s="390" t="n">
        <v>0</v>
      </c>
      <c r="N104" s="390" t="n">
        <v>3</v>
      </c>
      <c r="O104" s="390" t="inlineStr">
        <is>
          <t>Yes</t>
        </is>
      </c>
      <c r="P104" s="390" t="inlineStr">
        <is>
          <t>Every year</t>
        </is>
      </c>
      <c r="Q104" s="390" t="n"/>
      <c r="R104" s="390" t="inlineStr">
        <is>
          <t>Durango Transit daily ridership counts by route (Route_Ridership.xlsx, Jan 2019–Sep 2026)</t>
        </is>
      </c>
      <c r="S104" s="390" t="inlineStr">
        <is>
          <t>Rides on each Durango Transit fixed route each year, added up from daily counts. Higher numbers mean more people are riding.</t>
        </is>
      </c>
      <c r="T104" s="390" t="inlineStr">
        <is>
          <t>Fixed routes only; paratransit and microtransit are counted in Total Transit Ridership. Target: at least 3% more rides than the previous year (the goal is 3–5% growth a year). Growth under 3% shows At Risk; fewer rides than the year before shows Off Track. Benchmark: the state target of 6% growth a year. Crestview / 160 W began in March 2022 and Mercy / Three Springs in August 2026. 2026 is January–September and is compared with the same months of 2025.</t>
        </is>
      </c>
      <c r="U104" s="355">
        <f>IF(B104="","",IF(IF(D104&lt;&gt;"",D104,IFERROR(INDEX('Dashboard Items'!$B$2:$B$495,MATCH(E104,'Dashboard Items'!$A$2:$A$495,0)),""))="Key Service",IF(O104="No","Key Service: shown, not counted","Counts in Key Service gauge"),IF(IF(D104&lt;&gt;"",D104,IFERROR(INDEX('Dashboard Items'!$B$2:$B$495,MATCH(E104,'Dashboard Items'!$A$2:$A$495,0)),""))="Program",IF(ISNUMBER(SEARCH("ks",G104)),IF(O104="No","Program, also at Key Service: not counted","Counts in Key Service gauge + sets Program chip"),IF(O104="No","Program: shown, no status chip","Sets Program status chip")),IF(IF(D104&lt;&gt;"",D104,IFERROR(INDEX('Dashboard Items'!$B$2:$B$495,MATCH(E104,'Dashboard Items'!$A$2:$A$495,0)),""))="Work System","Work System: shown, not counted","Check Level"))))</f>
        <v/>
      </c>
    </row>
    <row r="105" ht="15.75" customFormat="1" customHeight="1" s="350">
      <c r="A105" s="390">
        <f>LEFT(B105, FIND("-", B105) - 1)</f>
        <v/>
      </c>
      <c r="B105" s="390" t="inlineStr">
        <is>
          <t>TRAN-TRIPDELIVER</t>
        </is>
      </c>
      <c r="C105" s="390" t="inlineStr">
        <is>
          <t>Trips Delivered/ ridership by type</t>
        </is>
      </c>
      <c r="D105" s="390" t="inlineStr">
        <is>
          <t>Program</t>
        </is>
      </c>
      <c r="E105" s="390" t="inlineStr">
        <is>
          <t>p70</t>
        </is>
      </c>
      <c r="F105" s="391">
        <f>IF(E105="","",IFERROR(IF(INDEX('Dashboard Items'!$B$2:$B$495,MATCH(E105,'Dashboard Items'!$A$2:$A$495,0))="Objective","Objectives go in the next column",IF(OR(D105="",INDEX('Dashboard Items'!$B$2:$B$495,MATCH(E105,'Dashboard Items'!$A$2:$A$495,0))=D105),INDEX('Dashboard Items'!$C$2:$C$495,MATCH(E105,'Dashboard Items'!$A$2:$A$495,0)),"Level does not match ID")),"ID not found"))</f>
        <v/>
      </c>
      <c r="G105" s="392" t="n"/>
      <c r="H105" s="391" t="n"/>
      <c r="I105" s="390" t="inlineStr">
        <is>
          <t>number</t>
        </is>
      </c>
      <c r="J105" s="390" t="n">
        <v>0</v>
      </c>
      <c r="K105" s="390" t="inlineStr">
        <is>
          <t>Yes</t>
        </is>
      </c>
      <c r="L105" s="390" t="inlineStr">
        <is>
          <t>Target</t>
        </is>
      </c>
      <c r="M105" s="390" t="n">
        <v>0</v>
      </c>
      <c r="N105" s="390" t="n">
        <v>3</v>
      </c>
      <c r="O105" s="390" t="inlineStr">
        <is>
          <t>Yes</t>
        </is>
      </c>
      <c r="P105" s="390" t="inlineStr">
        <is>
          <t>Every year</t>
        </is>
      </c>
      <c r="Q105" s="390" t="n"/>
      <c r="R105" s="390" t="inlineStr">
        <is>
          <t>Durango Transit monthly ridership report (Ridership_Demographics.xlsx, Jan 2019–Sep 2026)</t>
        </is>
      </c>
      <c r="S105" s="390" t="inlineStr">
        <is>
          <t>Dial-A-Ride (paratransit) trips delivered each year, broken down by rider type: under or over 60, and with or without a disability.</t>
        </is>
      </c>
      <c r="T105" s="390" t="inlineStr">
        <is>
          <t>Target: at least 3% more trips than the previous year (the goal is 3–5% growth a year). Growth under 3% shows At Risk; fewer trips than the year before shows Off Track. Benchmark: the previous year's trips. The total is the official monthly trip count; the rider-type counts do not always add up to it (for example 2019 and 2020), so the segments are shown as reported. 2026 is January–September and is compared with the same months of 2025.</t>
        </is>
      </c>
      <c r="U105" s="355">
        <f>IF(B105="","",IF(IF(D105&lt;&gt;"",D105,IFERROR(INDEX('Dashboard Items'!$B$2:$B$495,MATCH(E105,'Dashboard Items'!$A$2:$A$495,0)),""))="Key Service",IF(O105="No","Key Service: shown, not counted","Counts in Key Service gauge"),IF(IF(D105&lt;&gt;"",D105,IFERROR(INDEX('Dashboard Items'!$B$2:$B$495,MATCH(E105,'Dashboard Items'!$A$2:$A$495,0)),""))="Program",IF(ISNUMBER(SEARCH("ks",G105)),IF(O105="No","Program, also at Key Service: not counted","Counts in Key Service gauge + sets Program chip"),IF(O105="No","Program: shown, no status chip","Sets Program status chip")),IF(IF(D105&lt;&gt;"",D105,IFERROR(INDEX('Dashboard Items'!$B$2:$B$495,MATCH(E105,'Dashboard Items'!$A$2:$A$495,0)),""))="Work System","Work System: shown, not counted","Check Level"))))</f>
        <v/>
      </c>
    </row>
    <row r="106" ht="15.75" customFormat="1" customHeight="1" s="350">
      <c r="A106" s="390">
        <f>LEFT(B106, FIND("-", B106) - 1)</f>
        <v/>
      </c>
      <c r="B106" s="390" t="inlineStr">
        <is>
          <t>TRAN-VACRATE</t>
        </is>
      </c>
      <c r="C106" s="390" t="inlineStr">
        <is>
          <t>Vacany rate data collection</t>
        </is>
      </c>
      <c r="D106" s="390" t="inlineStr">
        <is>
          <t>Program</t>
        </is>
      </c>
      <c r="E106" s="390" t="inlineStr">
        <is>
          <t>p75</t>
        </is>
      </c>
      <c r="F106" s="391">
        <f>IF(E106="","",IFERROR(IF(INDEX('Dashboard Items'!$B$2:$B$495,MATCH(E106,'Dashboard Items'!$A$2:$A$495,0))="Objective","Objectives go in the next column",IF(OR(D106="",INDEX('Dashboard Items'!$B$2:$B$495,MATCH(E106,'Dashboard Items'!$A$2:$A$495,0))=D106),INDEX('Dashboard Items'!$C$2:$C$495,MATCH(E106,'Dashboard Items'!$A$2:$A$495,0)),"Level does not match ID")),"ID not found"))</f>
        <v/>
      </c>
      <c r="G106" s="392" t="inlineStr">
        <is>
          <t>ks14</t>
        </is>
      </c>
      <c r="H106" s="391">
        <f>IF(G106="","",IF(ISNUMBER(SEARCH(",",G106)),"Several items (the script lists them)",IFERROR(INDEX('Dashboard Items'!$B$2:$B$495,MATCH(G106,'Dashboard Items'!$A$2:$A$495,0))&amp;": "&amp;INDEX('Dashboard Items'!$C$2:$C$495,MATCH(G106,'Dashboard Items'!$A$2:$A$495,0)),"ID not found")))</f>
        <v/>
      </c>
      <c r="I106" s="390" t="inlineStr">
        <is>
          <t>percent</t>
        </is>
      </c>
      <c r="J106" s="390" t="n">
        <v>1</v>
      </c>
      <c r="K106" s="390" t="inlineStr">
        <is>
          <t>No</t>
        </is>
      </c>
      <c r="L106" s="390" t="inlineStr">
        <is>
          <t>Target</t>
        </is>
      </c>
      <c r="M106" s="390" t="n">
        <v>0</v>
      </c>
      <c r="N106" s="390" t="n">
        <v>0</v>
      </c>
      <c r="O106" s="390" t="inlineStr">
        <is>
          <t>Yes</t>
        </is>
      </c>
      <c r="P106" s="390" t="inlineStr">
        <is>
          <t>Every year</t>
        </is>
      </c>
      <c r="Q106" s="390" t="inlineStr">
        <is>
          <t>Parking Manager</t>
        </is>
      </c>
      <c r="R106" s="390" t="inlineStr">
        <is>
          <t>Transit Center lot vacancy counts, monthly (transit_center_vacancies.xlsx, 2019–2025)</t>
        </is>
      </c>
      <c r="S106" s="390" t="inlineStr">
        <is>
          <t>Average share of Transit Center lot spaces occupied each year. Lower numbers mean more open spaces.</t>
        </is>
      </c>
      <c r="T106" s="390" t="inlineStr">
        <is>
          <t>Target: keep occupancy at or below 85%, the point where a lot is effectively full; above 85% changes how parking is managed. Vacancy is 100% minus occupancy. 2026 counts are not yet entered.</t>
        </is>
      </c>
      <c r="U106" s="355">
        <f>IF(B106="","",IF(IF(D106&lt;&gt;"",D106,IFERROR(INDEX('Dashboard Items'!$B$2:$B$495,MATCH(E106,'Dashboard Items'!$A$2:$A$495,0)),""))="Key Service",IF(O106="No","Key Service: shown, not counted","Counts in Key Service gauge"),IF(IF(D106&lt;&gt;"",D106,IFERROR(INDEX('Dashboard Items'!$B$2:$B$495,MATCH(E106,'Dashboard Items'!$A$2:$A$495,0)),""))="Program",IF(ISNUMBER(SEARCH("ks",G106)),IF(O106="No","Program, also at Key Service: not counted","Counts in Key Service gauge + sets Program chip"),IF(O106="No","Program: shown, no status chip","Sets Program status chip")),IF(IF(D106&lt;&gt;"",D106,IFERROR(INDEX('Dashboard Items'!$B$2:$B$495,MATCH(E106,'Dashboard Items'!$A$2:$A$495,0)),""))="Work System","Work System: shown, not counted","Check Level"))))</f>
        <v/>
      </c>
    </row>
    <row r="107" ht="15.75" customFormat="1" customHeight="1" s="350">
      <c r="A107" s="390">
        <f>LEFT(B107, FIND("-", B107) - 1)</f>
        <v/>
      </c>
      <c r="B107" s="390" t="inlineStr">
        <is>
          <t>TRAN-WINDSHIELDRATE</t>
        </is>
      </c>
      <c r="C107" s="390" t="inlineStr">
        <is>
          <t>Citation payment rate</t>
        </is>
      </c>
      <c r="D107" s="390" t="inlineStr">
        <is>
          <t>Program</t>
        </is>
      </c>
      <c r="E107" s="390" t="inlineStr">
        <is>
          <t>p75</t>
        </is>
      </c>
      <c r="F107" s="391">
        <f>IF(E107="","",IFERROR(IF(INDEX('Dashboard Items'!$B$2:$B$495,MATCH(E107,'Dashboard Items'!$A$2:$A$495,0))="Objective","Objectives go in the next column",IF(OR(D107="",INDEX('Dashboard Items'!$B$2:$B$495,MATCH(E107,'Dashboard Items'!$A$2:$A$495,0))=D107),INDEX('Dashboard Items'!$C$2:$C$495,MATCH(E107,'Dashboard Items'!$A$2:$A$495,0)),"Level does not match ID")),"ID not found"))</f>
        <v/>
      </c>
      <c r="G107" s="392" t="n"/>
      <c r="H107" s="391">
        <f>IF(G107="","",IF(ISNUMBER(SEARCH(",",G107)),"Several items (the script lists them)",IFERROR(INDEX('Dashboard Items'!$B$2:$B$495,MATCH(G107,'Dashboard Items'!$A$2:$A$495,0))&amp;": "&amp;INDEX('Dashboard Items'!$C$2:$C$495,MATCH(G107,'Dashboard Items'!$A$2:$A$495,0)),"ID not found")))</f>
        <v/>
      </c>
      <c r="I107" s="390" t="inlineStr">
        <is>
          <t>percent</t>
        </is>
      </c>
      <c r="J107" s="390" t="n">
        <v>1</v>
      </c>
      <c r="K107" s="390" t="inlineStr">
        <is>
          <t>Yes</t>
        </is>
      </c>
      <c r="L107" s="390" t="inlineStr">
        <is>
          <t>Target</t>
        </is>
      </c>
      <c r="M107" s="390" t="n">
        <v>0</v>
      </c>
      <c r="N107" s="390" t="n">
        <v>0</v>
      </c>
      <c r="O107" s="390" t="inlineStr">
        <is>
          <t>Yes</t>
        </is>
      </c>
      <c r="P107" s="390" t="inlineStr">
        <is>
          <t>Every year</t>
        </is>
      </c>
      <c r="Q107" s="390" t="inlineStr">
        <is>
          <t>Parking Manager</t>
        </is>
      </c>
      <c r="R107" s="390" t="inlineStr">
        <is>
          <t>Parking citation tracking, monthly (Citation_Metrics_and_Data_.xlsx, 2021–Sep 2026)</t>
        </is>
      </c>
      <c r="S107" s="390" t="inlineStr">
        <is>
          <t>Citations paid each year as a share of citations issued that year.</t>
        </is>
      </c>
      <c r="T107" s="390" t="inlineStr">
        <is>
          <t>Target: a higher payment rate than the previous year. At or above last year shows On Track; below it shows Off Track. A benchmark is still to be checked. Payments made in a year can include citations issued the year before, so the rate is approximate. 2026 is January–September.</t>
        </is>
      </c>
      <c r="U107" s="355">
        <f>IF(B107="","",IF(IF(D107&lt;&gt;"",D107,IFERROR(INDEX('Dashboard Items'!$B$2:$B$495,MATCH(E107,'Dashboard Items'!$A$2:$A$495,0)),""))="Key Service",IF(O107="No","Key Service: shown, not counted","Counts in Key Service gauge"),IF(IF(D107&lt;&gt;"",D107,IFERROR(INDEX('Dashboard Items'!$B$2:$B$495,MATCH(E107,'Dashboard Items'!$A$2:$A$495,0)),""))="Program",IF(ISNUMBER(SEARCH("ks",G107)),IF(O107="No","Program, also at Key Service: not counted","Counts in Key Service gauge + sets Program chip"),IF(O107="No","Program: shown, no status chip","Sets Program status chip")),IF(IF(D107&lt;&gt;"",D107,IFERROR(INDEX('Dashboard Items'!$B$2:$B$495,MATCH(E107,'Dashboard Items'!$A$2:$A$495,0)),""))="Work System","Work System: shown, not counted","Check Level"))))</f>
        <v/>
      </c>
    </row>
    <row r="108" ht="15" customHeight="1" s="210">
      <c r="A108" s="350">
        <f>LEFT(B108, FIND("-", B108) - 1)</f>
        <v/>
      </c>
      <c r="B108" s="351" t="inlineStr">
        <is>
          <t>PIO-PUBCOMMENT</t>
        </is>
      </c>
      <c r="C108" s="352" t="inlineStr">
        <is>
          <t>Number of public comment for regular CC meetings</t>
        </is>
      </c>
      <c r="D108" s="351" t="inlineStr">
        <is>
          <t>Program</t>
        </is>
      </c>
      <c r="E108" s="351" t="inlineStr">
        <is>
          <t>p13</t>
        </is>
      </c>
      <c r="F108" s="353">
        <f>IF(E108="","",IFERROR(IF(INDEX('Dashboard Items'!$B$2:$B$495,MATCH(E108,'Dashboard Items'!$A$2:$A$495,0))="Objective","Objectives go in the next column",IF(OR(D108="",INDEX('Dashboard Items'!$B$2:$B$495,MATCH(E108,'Dashboard Items'!$A$2:$A$495,0))=D108),INDEX('Dashboard Items'!$C$2:$C$495,MATCH(E108,'Dashboard Items'!$A$2:$A$495,0)),"Level does not match ID")),"ID not found"))</f>
        <v/>
      </c>
      <c r="G108" s="354" t="n"/>
      <c r="H108" s="353">
        <f>IF(G108="","",IF(ISNUMBER(SEARCH(",",G108)),"Several items (the script lists them)",IFERROR(INDEX('Dashboard Items'!$B$2:$B$495,MATCH(G108,'Dashboard Items'!$A$2:$A$495,0))&amp;": "&amp;INDEX('Dashboard Items'!$C$2:$C$495,MATCH(G108,'Dashboard Items'!$A$2:$A$495,0)),"ID not found")))</f>
        <v/>
      </c>
      <c r="I108" s="351" t="n"/>
      <c r="J108" s="351" t="n"/>
      <c r="K108" s="351" t="n"/>
      <c r="L108" s="351" t="n"/>
      <c r="M108" s="351" t="n"/>
      <c r="N108" s="351" t="n"/>
      <c r="O108" s="351" t="n"/>
      <c r="P108" s="351" t="n"/>
      <c r="Q108" s="351" t="n"/>
      <c r="R108" s="351" t="n"/>
      <c r="S108" s="351" t="n"/>
      <c r="T108" s="351" t="n"/>
      <c r="U108" s="355">
        <f>IF(B108="","",IF(IF(D108&lt;&gt;"",D108,IFERROR(INDEX('Dashboard Items'!$B$2:$B$495,MATCH(E108,'Dashboard Items'!$A$2:$A$495,0)),""))="Key Service",IF(O108="No","Key Service: shown, not counted","Counts in Key Service gauge"),IF(IF(D108&lt;&gt;"",D108,IFERROR(INDEX('Dashboard Items'!$B$2:$B$495,MATCH(E108,'Dashboard Items'!$A$2:$A$495,0)),""))="Program",IF(ISNUMBER(SEARCH("ks",G108)),IF(O108="No","Program, also at Key Service: not counted","Counts in Key Service gauge + sets Program chip"),IF(O108="No","Program: shown, no status chip","Sets Program status chip")),IF(IF(D108&lt;&gt;"",D108,IFERROR(INDEX('Dashboard Items'!$B$2:$B$495,MATCH(E108,'Dashboard Items'!$A$2:$A$495,0)),""))="Work System","Work System: shown, not counted","Check Level"))))</f>
        <v/>
      </c>
    </row>
    <row r="109" ht="15" customHeight="1" s="210">
      <c r="A109" s="350">
        <f>LEFT(B109, FIND("-", B109) - 1)</f>
        <v/>
      </c>
      <c r="B109" s="351" t="inlineStr">
        <is>
          <t>PIO-NUMBOARDS</t>
        </is>
      </c>
      <c r="C109" s="352" t="inlineStr">
        <is>
          <t>Number of boards</t>
        </is>
      </c>
      <c r="D109" s="351" t="inlineStr">
        <is>
          <t>Program</t>
        </is>
      </c>
      <c r="E109" s="351" t="inlineStr">
        <is>
          <t>p13</t>
        </is>
      </c>
      <c r="F109" s="353">
        <f>IF(E109="","",IFERROR(IF(INDEX('Dashboard Items'!$B$2:$B$495,MATCH(E109,'Dashboard Items'!$A$2:$A$495,0))="Objective","Objectives go in the next column",IF(OR(D109="",INDEX('Dashboard Items'!$B$2:$B$495,MATCH(E109,'Dashboard Items'!$A$2:$A$495,0))=D109),INDEX('Dashboard Items'!$C$2:$C$495,MATCH(E109,'Dashboard Items'!$A$2:$A$495,0)),"Level does not match ID")),"ID not found"))</f>
        <v/>
      </c>
      <c r="G109" s="354" t="n"/>
      <c r="H109" s="353">
        <f>IF(G109="","",IF(ISNUMBER(SEARCH(",",G109)),"Several items (the script lists them)",IFERROR(INDEX('Dashboard Items'!$B$2:$B$495,MATCH(G109,'Dashboard Items'!$A$2:$A$495,0))&amp;": "&amp;INDEX('Dashboard Items'!$C$2:$C$495,MATCH(G109,'Dashboard Items'!$A$2:$A$495,0)),"ID not found")))</f>
        <v/>
      </c>
      <c r="I109" s="351" t="n"/>
      <c r="J109" s="351" t="n"/>
      <c r="K109" s="351" t="n"/>
      <c r="L109" s="351" t="n"/>
      <c r="M109" s="351" t="n"/>
      <c r="N109" s="351" t="n"/>
      <c r="O109" s="351" t="n"/>
      <c r="P109" s="351" t="n"/>
      <c r="Q109" s="351" t="n"/>
      <c r="R109" s="351" t="n"/>
      <c r="S109" s="351" t="n"/>
      <c r="T109" s="351" t="n"/>
      <c r="U109" s="355">
        <f>IF(B109="","",IF(IF(D109&lt;&gt;"",D109,IFERROR(INDEX('Dashboard Items'!$B$2:$B$495,MATCH(E109,'Dashboard Items'!$A$2:$A$495,0)),""))="Key Service",IF(O109="No","Key Service: shown, not counted","Counts in Key Service gauge"),IF(IF(D109&lt;&gt;"",D109,IFERROR(INDEX('Dashboard Items'!$B$2:$B$495,MATCH(E109,'Dashboard Items'!$A$2:$A$495,0)),""))="Program",IF(ISNUMBER(SEARCH("ks",G109)),IF(O109="No","Program, also at Key Service: not counted","Counts in Key Service gauge + sets Program chip"),IF(O109="No","Program: shown, no status chip","Sets Program status chip")),IF(IF(D109&lt;&gt;"",D109,IFERROR(INDEX('Dashboard Items'!$B$2:$B$495,MATCH(E109,'Dashboard Items'!$A$2:$A$495,0)),""))="Work System","Work System: shown, not counted","Check Level"))))</f>
        <v/>
      </c>
    </row>
    <row r="110" ht="15" customHeight="1" s="210">
      <c r="A110" s="350">
        <f>LEFT(B110, FIND("-", B110) - 1)</f>
        <v/>
      </c>
      <c r="B110" s="351" t="inlineStr">
        <is>
          <t>PIO-BOARDVOLUNTEERS</t>
        </is>
      </c>
      <c r="C110" s="352" t="inlineStr">
        <is>
          <t>Number of volunteers on boards</t>
        </is>
      </c>
      <c r="D110" s="351" t="inlineStr">
        <is>
          <t>Program</t>
        </is>
      </c>
      <c r="E110" s="351" t="inlineStr">
        <is>
          <t>p13</t>
        </is>
      </c>
      <c r="F110" s="353">
        <f>IF(E110="","",IFERROR(IF(INDEX('Dashboard Items'!$B$2:$B$495,MATCH(E110,'Dashboard Items'!$A$2:$A$495,0))="Objective","Objectives go in the next column",IF(OR(D110="",INDEX('Dashboard Items'!$B$2:$B$495,MATCH(E110,'Dashboard Items'!$A$2:$A$495,0))=D110),INDEX('Dashboard Items'!$C$2:$C$495,MATCH(E110,'Dashboard Items'!$A$2:$A$495,0)),"Level does not match ID")),"ID not found"))</f>
        <v/>
      </c>
      <c r="G110" s="354" t="n"/>
      <c r="H110" s="353">
        <f>IF(G110="","",IF(ISNUMBER(SEARCH(",",G110)),"Several items (the script lists them)",IFERROR(INDEX('Dashboard Items'!$B$2:$B$495,MATCH(G110,'Dashboard Items'!$A$2:$A$495,0))&amp;": "&amp;INDEX('Dashboard Items'!$C$2:$C$495,MATCH(G110,'Dashboard Items'!$A$2:$A$495,0)),"ID not found")))</f>
        <v/>
      </c>
      <c r="I110" s="351" t="n"/>
      <c r="J110" s="351" t="n"/>
      <c r="K110" s="351" t="n"/>
      <c r="L110" s="351" t="n"/>
      <c r="M110" s="351" t="n"/>
      <c r="N110" s="351" t="n"/>
      <c r="O110" s="351" t="n"/>
      <c r="P110" s="351" t="n"/>
      <c r="Q110" s="351" t="n"/>
      <c r="R110" s="351" t="n"/>
      <c r="S110" s="351" t="n"/>
      <c r="T110" s="351" t="n"/>
      <c r="U110" s="355">
        <f>IF(B110="","",IF(IF(D110&lt;&gt;"",D110,IFERROR(INDEX('Dashboard Items'!$B$2:$B$495,MATCH(E110,'Dashboard Items'!$A$2:$A$495,0)),""))="Key Service",IF(O110="No","Key Service: shown, not counted","Counts in Key Service gauge"),IF(IF(D110&lt;&gt;"",D110,IFERROR(INDEX('Dashboard Items'!$B$2:$B$495,MATCH(E110,'Dashboard Items'!$A$2:$A$495,0)),""))="Program",IF(ISNUMBER(SEARCH("ks",G110)),IF(O110="No","Program, also at Key Service: not counted","Counts in Key Service gauge + sets Program chip"),IF(O110="No","Program: shown, no status chip","Sets Program status chip")),IF(IF(D110&lt;&gt;"",D110,IFERROR(INDEX('Dashboard Items'!$B$2:$B$495,MATCH(E110,'Dashboard Items'!$A$2:$A$495,0)),""))="Work System","Work System: shown, not counted","Check Level"))))</f>
        <v/>
      </c>
    </row>
    <row r="111" ht="15" customHeight="1" s="210">
      <c r="A111" s="350">
        <f>LEFT(B111, FIND("-", B111) - 1)</f>
        <v/>
      </c>
      <c r="B111" s="351" t="inlineStr">
        <is>
          <t>IT-LIAISONSURV</t>
        </is>
      </c>
      <c r="C111" s="352" t="inlineStr">
        <is>
          <t>IT Liaison Survey</t>
        </is>
      </c>
      <c r="D111" s="351" t="inlineStr">
        <is>
          <t>Key Service</t>
        </is>
      </c>
      <c r="E111" s="351" t="inlineStr">
        <is>
          <t>ks7</t>
        </is>
      </c>
      <c r="F111" s="353">
        <f>IF(E111="","",IFERROR(IF(INDEX('Dashboard Items'!$B$2:$B$495,MATCH(E111,'Dashboard Items'!$A$2:$A$495,0))="Objective","Objectives go in the next column",IF(OR(D111="",INDEX('Dashboard Items'!$B$2:$B$495,MATCH(E111,'Dashboard Items'!$A$2:$A$495,0))=D111),INDEX('Dashboard Items'!$C$2:$C$495,MATCH(E111,'Dashboard Items'!$A$2:$A$495,0)),"Level does not match ID")),"ID not found"))</f>
        <v/>
      </c>
      <c r="G111" s="354" t="n"/>
      <c r="H111" s="353">
        <f>IF(G111="","",IF(ISNUMBER(SEARCH(",",G111)),"Several items (the script lists them)",IFERROR(INDEX('Dashboard Items'!$B$2:$B$495,MATCH(G111,'Dashboard Items'!$A$2:$A$495,0))&amp;": "&amp;INDEX('Dashboard Items'!$C$2:$C$495,MATCH(G111,'Dashboard Items'!$A$2:$A$495,0)),"ID not found")))</f>
        <v/>
      </c>
      <c r="I111" s="351" t="inlineStr">
        <is>
          <t>out of 5</t>
        </is>
      </c>
      <c r="J111" s="351" t="n">
        <v>2</v>
      </c>
      <c r="K111" s="351" t="inlineStr">
        <is>
          <t>Yes</t>
        </is>
      </c>
      <c r="L111" s="351" t="inlineStr">
        <is>
          <t>Target</t>
        </is>
      </c>
      <c r="M111" s="351" t="n"/>
      <c r="N111" s="351" t="n"/>
      <c r="O111" s="351" t="n"/>
      <c r="P111" s="351" t="inlineStr">
        <is>
          <t>Every year</t>
        </is>
      </c>
      <c r="Q111" s="351" t="inlineStr">
        <is>
          <t>IT Director</t>
        </is>
      </c>
      <c r="R111" s="351" t="inlineStr">
        <is>
          <t>IT Liaison Feedback Survey (Microsoft Forms)</t>
        </is>
      </c>
      <c r="S111" s="351" t="inlineStr">
        <is>
          <t>Average rating from City department liaisons on four questions about the IT Department, on a 1 to 5 scale: how well IT understands their business needs, how proactive it is, how well its services align with their goals, and how innovative it is.</t>
        </is>
      </c>
      <c r="T111" s="351" t="inlineStr">
        <is>
          <t>Overall is the average of all four questions. Responses are grouped by the year they were submitted; three test responses are excluded.</t>
        </is>
      </c>
      <c r="U111" s="355">
        <f>IF(B111="","",IF(IF(D111&lt;&gt;"",D111,IFERROR(INDEX('Dashboard Items'!$B$2:$B$495,MATCH(E111,'Dashboard Items'!$A$2:$A$495,0)),""))="Key Service",IF(O111="No","Key Service: shown, not counted","Counts in Key Service gauge"),IF(IF(D111&lt;&gt;"",D111,IFERROR(INDEX('Dashboard Items'!$B$2:$B$495,MATCH(E111,'Dashboard Items'!$A$2:$A$495,0)),""))="Program",IF(ISNUMBER(SEARCH("ks",G111)),IF(O111="No","Program, also at Key Service: not counted","Counts in Key Service gauge + sets Program chip"),IF(O111="No","Program: shown, no status chip","Sets Program status chip")),IF(IF(D111&lt;&gt;"",D111,IFERROR(INDEX('Dashboard Items'!$B$2:$B$495,MATCH(E111,'Dashboard Items'!$A$2:$A$495,0)),""))="Work System","Work System: shown, not counted","Check Level"))))</f>
        <v/>
      </c>
    </row>
    <row r="112" ht="15" customHeight="1" s="210">
      <c r="A112" s="350">
        <f>LEFT(B112, FIND("-", B112) - 1)</f>
        <v/>
      </c>
      <c r="B112" s="351" t="inlineStr">
        <is>
          <t>IT-APPTICKETS</t>
        </is>
      </c>
      <c r="C112" s="352" t="inlineStr">
        <is>
          <t>Tickets per Application</t>
        </is>
      </c>
      <c r="D112" s="351" t="inlineStr">
        <is>
          <t>Program</t>
        </is>
      </c>
      <c r="E112" s="351" t="inlineStr">
        <is>
          <t>p32</t>
        </is>
      </c>
      <c r="F112" s="353">
        <f>IF(E112="","",IFERROR(IF(INDEX('Dashboard Items'!$B$2:$B$495,MATCH(E112,'Dashboard Items'!$A$2:$A$495,0))="Objective","Objectives go in the next column",IF(OR(D112="",INDEX('Dashboard Items'!$B$2:$B$495,MATCH(E112,'Dashboard Items'!$A$2:$A$495,0))=D112),INDEX('Dashboard Items'!$C$2:$C$495,MATCH(E112,'Dashboard Items'!$A$2:$A$495,0)),"Level does not match ID")),"ID not found"))</f>
        <v/>
      </c>
      <c r="G112" s="354" t="n"/>
      <c r="H112" s="353">
        <f>IF(G112="","",IF(ISNUMBER(SEARCH(",",G112)),"Several items (the script lists them)",IFERROR(INDEX('Dashboard Items'!$B$2:$B$495,MATCH(G112,'Dashboard Items'!$A$2:$A$495,0))&amp;": "&amp;INDEX('Dashboard Items'!$C$2:$C$495,MATCH(G112,'Dashboard Items'!$A$2:$A$495,0)),"ID not found")))</f>
        <v/>
      </c>
      <c r="I112" s="351" t="inlineStr">
        <is>
          <t>number</t>
        </is>
      </c>
      <c r="J112" s="351" t="n">
        <v>0</v>
      </c>
      <c r="K112" s="351" t="inlineStr">
        <is>
          <t>No</t>
        </is>
      </c>
      <c r="L112" s="351" t="inlineStr">
        <is>
          <t>Target</t>
        </is>
      </c>
      <c r="M112" s="351" t="n"/>
      <c r="N112" s="351" t="n"/>
      <c r="O112" s="351" t="n"/>
      <c r="P112" s="351" t="inlineStr">
        <is>
          <t>Every year</t>
        </is>
      </c>
      <c r="Q112" s="351" t="inlineStr">
        <is>
          <t>IT Director</t>
        </is>
      </c>
      <c r="R112" s="351" t="inlineStr">
        <is>
          <t>SysAid</t>
        </is>
      </c>
      <c r="S112" s="351" t="inlineStr">
        <is>
          <t>Number of help desk tickets filed under the Applications category in SysAid each year, split into incidents (something stopped working) and requests (asking for access, installs or changes).</t>
        </is>
      </c>
      <c r="T112" s="351" t="inlineStr">
        <is>
          <t>Counts tickets by the year they were opened. Automatic Workflow Processing tickets (P-card and Innoprise account setups) are excluded, and 2023 is left out because only 34 tickets were recorded. Largest SysAid sub-categories for 2025 and 2026: Microsoft Office Issues (453), CitySuite (388), Install/Update Program (325), Teams (162) and Adobe Acrobat (138); about 40% of tickets are filed as Other Issue or Request.</t>
        </is>
      </c>
      <c r="U112" s="355">
        <f>IF(B112="","",IF(IF(D112&lt;&gt;"",D112,IFERROR(INDEX('Dashboard Items'!$B$2:$B$495,MATCH(E112,'Dashboard Items'!$A$2:$A$495,0)),""))="Key Service",IF(O112="No","Key Service: shown, not counted","Counts in Key Service gauge"),IF(IF(D112&lt;&gt;"",D112,IFERROR(INDEX('Dashboard Items'!$B$2:$B$495,MATCH(E112,'Dashboard Items'!$A$2:$A$495,0)),""))="Program",IF(ISNUMBER(SEARCH("ks",G112)),IF(O112="No","Program, also at Key Service: not counted","Counts in Key Service gauge + sets Program chip"),IF(O112="No","Program: shown, no status chip","Sets Program status chip")),IF(IF(D112&lt;&gt;"",D112,IFERROR(INDEX('Dashboard Items'!$B$2:$B$495,MATCH(E112,'Dashboard Items'!$A$2:$A$495,0)),""))="Work System","Work System: shown, not counted","Check Level"))))</f>
        <v/>
      </c>
    </row>
    <row r="113" ht="15" customHeight="1" s="210">
      <c r="A113" s="350">
        <f>LEFT(B113, FIND("-", B113) - 1)</f>
        <v/>
      </c>
      <c r="B113" s="351" t="inlineStr">
        <is>
          <t>IT-ADDRSLA</t>
        </is>
      </c>
      <c r="C113" s="352" t="inlineStr">
        <is>
          <t>Address Requests within SLA</t>
        </is>
      </c>
      <c r="D113" s="351" t="inlineStr">
        <is>
          <t>Program</t>
        </is>
      </c>
      <c r="E113" s="351" t="inlineStr">
        <is>
          <t>p33</t>
        </is>
      </c>
      <c r="F113" s="353">
        <f>IF(E113="","",IFERROR(IF(INDEX('Dashboard Items'!$B$2:$B$495,MATCH(E113,'Dashboard Items'!$A$2:$A$495,0))="Objective","Objectives go in the next column",IF(OR(D113="",INDEX('Dashboard Items'!$B$2:$B$495,MATCH(E113,'Dashboard Items'!$A$2:$A$495,0))=D113),INDEX('Dashboard Items'!$C$2:$C$495,MATCH(E113,'Dashboard Items'!$A$2:$A$495,0)),"Level does not match ID")),"ID not found"))</f>
        <v/>
      </c>
      <c r="G113" s="354" t="n"/>
      <c r="H113" s="353">
        <f>IF(G113="","",IF(ISNUMBER(SEARCH(",",G113)),"Several items (the script lists them)",IFERROR(INDEX('Dashboard Items'!$B$2:$B$495,MATCH(G113,'Dashboard Items'!$A$2:$A$495,0))&amp;": "&amp;INDEX('Dashboard Items'!$C$2:$C$495,MATCH(G113,'Dashboard Items'!$A$2:$A$495,0)),"ID not found")))</f>
        <v/>
      </c>
      <c r="I113" s="351" t="n"/>
      <c r="J113" s="351" t="n"/>
      <c r="K113" s="351" t="n"/>
      <c r="L113" s="351" t="n"/>
      <c r="M113" s="351" t="n"/>
      <c r="N113" s="351" t="n"/>
      <c r="O113" s="351" t="n"/>
      <c r="P113" s="351" t="n"/>
      <c r="Q113" s="351" t="n"/>
      <c r="R113" s="351" t="n"/>
      <c r="S113" s="351" t="n"/>
      <c r="T113" s="351" t="n"/>
      <c r="U113" s="355">
        <f>IF(B113="","",IF(IF(D113&lt;&gt;"",D113,IFERROR(INDEX('Dashboard Items'!$B$2:$B$495,MATCH(E113,'Dashboard Items'!$A$2:$A$495,0)),""))="Key Service",IF(O113="No","Key Service: shown, not counted","Counts in Key Service gauge"),IF(IF(D113&lt;&gt;"",D113,IFERROR(INDEX('Dashboard Items'!$B$2:$B$495,MATCH(E113,'Dashboard Items'!$A$2:$A$495,0)),""))="Program",IF(ISNUMBER(SEARCH("ks",G113)),IF(O113="No","Program, also at Key Service: not counted","Counts in Key Service gauge + sets Program chip"),IF(O113="No","Program: shown, no status chip","Sets Program status chip")),IF(IF(D113&lt;&gt;"",D113,IFERROR(INDEX('Dashboard Items'!$B$2:$B$495,MATCH(E113,'Dashboard Items'!$A$2:$A$495,0)),""))="Work System","Work System: shown, not counted","Check Level"))))</f>
        <v/>
      </c>
    </row>
    <row r="114" ht="15" customHeight="1" s="210">
      <c r="A114" s="350">
        <f>LEFT(B114, FIND("-", B114) - 1)</f>
        <v/>
      </c>
      <c r="B114" s="351" t="inlineStr">
        <is>
          <t>IT-NENANEW</t>
        </is>
      </c>
      <c r="C114" s="352" t="inlineStr">
        <is>
          <t>New Address NENA Compliance</t>
        </is>
      </c>
      <c r="D114" s="351" t="inlineStr">
        <is>
          <t>Program</t>
        </is>
      </c>
      <c r="E114" s="351" t="inlineStr">
        <is>
          <t>p33</t>
        </is>
      </c>
      <c r="F114" s="353">
        <f>IF(E114="","",IFERROR(IF(INDEX('Dashboard Items'!$B$2:$B$495,MATCH(E114,'Dashboard Items'!$A$2:$A$495,0))="Objective","Objectives go in the next column",IF(OR(D114="",INDEX('Dashboard Items'!$B$2:$B$495,MATCH(E114,'Dashboard Items'!$A$2:$A$495,0))=D114),INDEX('Dashboard Items'!$C$2:$C$495,MATCH(E114,'Dashboard Items'!$A$2:$A$495,0)),"Level does not match ID")),"ID not found"))</f>
        <v/>
      </c>
      <c r="G114" s="354" t="n"/>
      <c r="H114" s="353">
        <f>IF(G114="","",IF(ISNUMBER(SEARCH(",",G114)),"Several items (the script lists them)",IFERROR(INDEX('Dashboard Items'!$B$2:$B$495,MATCH(G114,'Dashboard Items'!$A$2:$A$495,0))&amp;": "&amp;INDEX('Dashboard Items'!$C$2:$C$495,MATCH(G114,'Dashboard Items'!$A$2:$A$495,0)),"ID not found")))</f>
        <v/>
      </c>
      <c r="I114" s="351" t="n"/>
      <c r="J114" s="351" t="n"/>
      <c r="K114" s="351" t="n"/>
      <c r="L114" s="351" t="n"/>
      <c r="M114" s="351" t="n"/>
      <c r="N114" s="351" t="n"/>
      <c r="O114" s="351" t="n"/>
      <c r="P114" s="351" t="n"/>
      <c r="Q114" s="351" t="n"/>
      <c r="R114" s="351" t="n"/>
      <c r="S114" s="351" t="n"/>
      <c r="T114" s="351" t="n"/>
      <c r="U114" s="355">
        <f>IF(B114="","",IF(IF(D114&lt;&gt;"",D114,IFERROR(INDEX('Dashboard Items'!$B$2:$B$495,MATCH(E114,'Dashboard Items'!$A$2:$A$495,0)),""))="Key Service",IF(O114="No","Key Service: shown, not counted","Counts in Key Service gauge"),IF(IF(D114&lt;&gt;"",D114,IFERROR(INDEX('Dashboard Items'!$B$2:$B$495,MATCH(E114,'Dashboard Items'!$A$2:$A$495,0)),""))="Program",IF(ISNUMBER(SEARCH("ks",G114)),IF(O114="No","Program, also at Key Service: not counted","Counts in Key Service gauge + sets Program chip"),IF(O114="No","Program: shown, no status chip","Sets Program status chip")),IF(IF(D114&lt;&gt;"",D114,IFERROR(INDEX('Dashboard Items'!$B$2:$B$495,MATCH(E114,'Dashboard Items'!$A$2:$A$495,0)),""))="Work System","Work System: shown, not counted","Check Level"))))</f>
        <v/>
      </c>
    </row>
    <row r="115" ht="15" customHeight="1" s="210">
      <c r="A115" s="350">
        <f>LEFT(B115, FIND("-", B115) - 1)</f>
        <v/>
      </c>
      <c r="B115" s="351" t="inlineStr">
        <is>
          <t>IT-NENAOVERALL</t>
        </is>
      </c>
      <c r="C115" s="352" t="inlineStr">
        <is>
          <t>NENA Compliance (overall)</t>
        </is>
      </c>
      <c r="D115" s="351" t="inlineStr">
        <is>
          <t>Program</t>
        </is>
      </c>
      <c r="E115" s="351" t="inlineStr">
        <is>
          <t>p33</t>
        </is>
      </c>
      <c r="F115" s="353">
        <f>IF(E115="","",IFERROR(IF(INDEX('Dashboard Items'!$B$2:$B$495,MATCH(E115,'Dashboard Items'!$A$2:$A$495,0))="Objective","Objectives go in the next column",IF(OR(D115="",INDEX('Dashboard Items'!$B$2:$B$495,MATCH(E115,'Dashboard Items'!$A$2:$A$495,0))=D115),INDEX('Dashboard Items'!$C$2:$C$495,MATCH(E115,'Dashboard Items'!$A$2:$A$495,0)),"Level does not match ID")),"ID not found"))</f>
        <v/>
      </c>
      <c r="G115" s="354" t="n"/>
      <c r="H115" s="353">
        <f>IF(G115="","",IF(ISNUMBER(SEARCH(",",G115)),"Several items (the script lists them)",IFERROR(INDEX('Dashboard Items'!$B$2:$B$495,MATCH(G115,'Dashboard Items'!$A$2:$A$495,0))&amp;": "&amp;INDEX('Dashboard Items'!$C$2:$C$495,MATCH(G115,'Dashboard Items'!$A$2:$A$495,0)),"ID not found")))</f>
        <v/>
      </c>
      <c r="I115" s="351" t="n"/>
      <c r="J115" s="351" t="n"/>
      <c r="K115" s="351" t="n"/>
      <c r="L115" s="351" t="n"/>
      <c r="M115" s="351" t="n"/>
      <c r="N115" s="351" t="n"/>
      <c r="O115" s="351" t="n"/>
      <c r="P115" s="351" t="n"/>
      <c r="Q115" s="351" t="n"/>
      <c r="R115" s="351" t="n"/>
      <c r="S115" s="351" t="n"/>
      <c r="T115" s="351" t="n"/>
      <c r="U115" s="355">
        <f>IF(B115="","",IF(IF(D115&lt;&gt;"",D115,IFERROR(INDEX('Dashboard Items'!$B$2:$B$495,MATCH(E115,'Dashboard Items'!$A$2:$A$495,0)),""))="Key Service",IF(O115="No","Key Service: shown, not counted","Counts in Key Service gauge"),IF(IF(D115&lt;&gt;"",D115,IFERROR(INDEX('Dashboard Items'!$B$2:$B$495,MATCH(E115,'Dashboard Items'!$A$2:$A$495,0)),""))="Program",IF(ISNUMBER(SEARCH("ks",G115)),IF(O115="No","Program, also at Key Service: not counted","Counts in Key Service gauge + sets Program chip"),IF(O115="No","Program: shown, no status chip","Sets Program status chip")),IF(IF(D115&lt;&gt;"",D115,IFERROR(INDEX('Dashboard Items'!$B$2:$B$495,MATCH(E115,'Dashboard Items'!$A$2:$A$495,0)),""))="Work System","Work System: shown, not counted","Check Level"))))</f>
        <v/>
      </c>
    </row>
    <row r="116" ht="15" customHeight="1" s="210">
      <c r="A116" s="350">
        <f>LEFT(B116, FIND("-", B116) - 1)</f>
        <v/>
      </c>
      <c r="B116" s="351" t="inlineStr">
        <is>
          <t>IT-CRITTICKETS</t>
        </is>
      </c>
      <c r="C116" s="352" t="inlineStr">
        <is>
          <t>Critical Ticket Count</t>
        </is>
      </c>
      <c r="D116" s="351" t="inlineStr">
        <is>
          <t>Program</t>
        </is>
      </c>
      <c r="E116" s="351" t="inlineStr">
        <is>
          <t>p34</t>
        </is>
      </c>
      <c r="F116" s="353">
        <f>IF(E116="","",IFERROR(IF(INDEX('Dashboard Items'!$B$2:$B$495,MATCH(E116,'Dashboard Items'!$A$2:$A$495,0))="Objective","Objectives go in the next column",IF(OR(D116="",INDEX('Dashboard Items'!$B$2:$B$495,MATCH(E116,'Dashboard Items'!$A$2:$A$495,0))=D116),INDEX('Dashboard Items'!$C$2:$C$495,MATCH(E116,'Dashboard Items'!$A$2:$A$495,0)),"Level does not match ID")),"ID not found"))</f>
        <v/>
      </c>
      <c r="G116" s="354" t="n"/>
      <c r="H116" s="353">
        <f>IF(G116="","",IF(ISNUMBER(SEARCH(",",G116)),"Several items (the script lists them)",IFERROR(INDEX('Dashboard Items'!$B$2:$B$495,MATCH(G116,'Dashboard Items'!$A$2:$A$495,0))&amp;": "&amp;INDEX('Dashboard Items'!$C$2:$C$495,MATCH(G116,'Dashboard Items'!$A$2:$A$495,0)),"ID not found")))</f>
        <v/>
      </c>
      <c r="I116" s="351" t="n"/>
      <c r="J116" s="351" t="n"/>
      <c r="K116" s="351" t="n"/>
      <c r="L116" s="351" t="n"/>
      <c r="M116" s="351" t="n"/>
      <c r="N116" s="351" t="n"/>
      <c r="O116" s="351" t="n"/>
      <c r="P116" s="351" t="n"/>
      <c r="Q116" s="351" t="n"/>
      <c r="R116" s="351" t="n"/>
      <c r="S116" s="351" t="n"/>
      <c r="T116" s="351" t="n"/>
      <c r="U116" s="355">
        <f>IF(B116="","",IF(IF(D116&lt;&gt;"",D116,IFERROR(INDEX('Dashboard Items'!$B$2:$B$495,MATCH(E116,'Dashboard Items'!$A$2:$A$495,0)),""))="Key Service",IF(O116="No","Key Service: shown, not counted","Counts in Key Service gauge"),IF(IF(D116&lt;&gt;"",D116,IFERROR(INDEX('Dashboard Items'!$B$2:$B$495,MATCH(E116,'Dashboard Items'!$A$2:$A$495,0)),""))="Program",IF(ISNUMBER(SEARCH("ks",G116)),IF(O116="No","Program, also at Key Service: not counted","Counts in Key Service gauge + sets Program chip"),IF(O116="No","Program: shown, no status chip","Sets Program status chip")),IF(IF(D116&lt;&gt;"",D116,IFERROR(INDEX('Dashboard Items'!$B$2:$B$495,MATCH(E116,'Dashboard Items'!$A$2:$A$495,0)),""))="Work System","Work System: shown, not counted","Check Level"))))</f>
        <v/>
      </c>
    </row>
    <row r="117" ht="15" customHeight="1" s="210">
      <c r="A117" s="350">
        <f>LEFT(B117, FIND("-", B117) - 1)</f>
        <v/>
      </c>
      <c r="B117" s="351" t="inlineStr">
        <is>
          <t>COMDEV-ANNEXACRES</t>
        </is>
      </c>
      <c r="C117" s="352" t="inlineStr">
        <is>
          <t>Acres of land annexed and sorted by zone</t>
        </is>
      </c>
      <c r="D117" s="351" t="inlineStr">
        <is>
          <t>Key Service</t>
        </is>
      </c>
      <c r="E117" s="351" t="inlineStr">
        <is>
          <t>ks8</t>
        </is>
      </c>
      <c r="F117" s="353">
        <f>IF(E117="","",IFERROR(IF(INDEX('Dashboard Items'!$B$2:$B$495,MATCH(E117,'Dashboard Items'!$A$2:$A$495,0))="Objective","Objectives go in the next column",IF(OR(D117="",INDEX('Dashboard Items'!$B$2:$B$495,MATCH(E117,'Dashboard Items'!$A$2:$A$495,0))=D117),INDEX('Dashboard Items'!$C$2:$C$495,MATCH(E117,'Dashboard Items'!$A$2:$A$495,0)),"Level does not match ID")),"ID not found"))</f>
        <v/>
      </c>
      <c r="G117" s="354" t="inlineStr">
        <is>
          <t>p35</t>
        </is>
      </c>
      <c r="H117" s="353">
        <f>IF(G117="","",IF(ISNUMBER(SEARCH(",",G117)),"Several items (the script lists them)",IFERROR(INDEX('Dashboard Items'!$B$2:$B$495,MATCH(G117,'Dashboard Items'!$A$2:$A$495,0))&amp;": "&amp;INDEX('Dashboard Items'!$C$2:$C$495,MATCH(G117,'Dashboard Items'!$A$2:$A$495,0)),"ID not found")))</f>
        <v/>
      </c>
      <c r="I117" s="351" t="n"/>
      <c r="J117" s="351" t="n"/>
      <c r="K117" s="351" t="n"/>
      <c r="L117" s="351" t="n"/>
      <c r="M117" s="351" t="n"/>
      <c r="N117" s="351" t="n"/>
      <c r="O117" s="351" t="n"/>
      <c r="P117" s="351" t="n"/>
      <c r="Q117" s="351" t="n"/>
      <c r="R117" s="351" t="n"/>
      <c r="S117" s="351" t="n"/>
      <c r="T117" s="351" t="n"/>
      <c r="U117" s="355">
        <f>IF(B117="","",IF(IF(D117&lt;&gt;"",D117,IFERROR(INDEX('Dashboard Items'!$B$2:$B$495,MATCH(E117,'Dashboard Items'!$A$2:$A$495,0)),""))="Key Service",IF(O117="No","Key Service: shown, not counted","Counts in Key Service gauge"),IF(IF(D117&lt;&gt;"",D117,IFERROR(INDEX('Dashboard Items'!$B$2:$B$495,MATCH(E117,'Dashboard Items'!$A$2:$A$495,0)),""))="Program",IF(ISNUMBER(SEARCH("ks",G117)),IF(O117="No","Program, also at Key Service: not counted","Counts in Key Service gauge + sets Program chip"),IF(O117="No","Program: shown, no status chip","Sets Program status chip")),IF(IF(D117&lt;&gt;"",D117,IFERROR(INDEX('Dashboard Items'!$B$2:$B$495,MATCH(E117,'Dashboard Items'!$A$2:$A$495,0)),""))="Work System","Work System: shown, not counted","Check Level"))))</f>
        <v/>
      </c>
    </row>
    <row r="118" ht="15" customHeight="1" s="210">
      <c r="A118" s="350">
        <f>LEFT(B118, FIND("-", B118) - 1)</f>
        <v/>
      </c>
      <c r="B118" s="351" t="inlineStr">
        <is>
          <t>COMDEV-PERMIT48</t>
        </is>
      </c>
      <c r="C118" s="352" t="inlineStr">
        <is>
          <t>Building permits issued within 48 hours</t>
        </is>
      </c>
      <c r="D118" s="351" t="inlineStr">
        <is>
          <t>Key Service</t>
        </is>
      </c>
      <c r="E118" s="351" t="inlineStr">
        <is>
          <t>ks8</t>
        </is>
      </c>
      <c r="F118" s="353">
        <f>IF(E118="","",IFERROR(IF(INDEX('Dashboard Items'!$B$2:$B$495,MATCH(E118,'Dashboard Items'!$A$2:$A$495,0))="Objective","Objectives go in the next column",IF(OR(D118="",INDEX('Dashboard Items'!$B$2:$B$495,MATCH(E118,'Dashboard Items'!$A$2:$A$495,0))=D118),INDEX('Dashboard Items'!$C$2:$C$495,MATCH(E118,'Dashboard Items'!$A$2:$A$495,0)),"Level does not match ID")),"ID not found"))</f>
        <v/>
      </c>
      <c r="G118" s="354" t="n"/>
      <c r="H118" s="353">
        <f>IF(G118="","",IF(ISNUMBER(SEARCH(",",G118)),"Several items (the script lists them)",IFERROR(INDEX('Dashboard Items'!$B$2:$B$495,MATCH(G118,'Dashboard Items'!$A$2:$A$495,0))&amp;": "&amp;INDEX('Dashboard Items'!$C$2:$C$495,MATCH(G118,'Dashboard Items'!$A$2:$A$495,0)),"ID not found")))</f>
        <v/>
      </c>
      <c r="I118" s="351" t="n"/>
      <c r="J118" s="351" t="n"/>
      <c r="K118" s="351" t="n"/>
      <c r="L118" s="351" t="n"/>
      <c r="M118" s="351" t="n"/>
      <c r="N118" s="351" t="n"/>
      <c r="O118" s="351" t="n"/>
      <c r="P118" s="351" t="n"/>
      <c r="Q118" s="351" t="n"/>
      <c r="R118" s="351" t="n"/>
      <c r="S118" s="351" t="n"/>
      <c r="T118" s="351" t="n"/>
      <c r="U118" s="355">
        <f>IF(B118="","",IF(IF(D118&lt;&gt;"",D118,IFERROR(INDEX('Dashboard Items'!$B$2:$B$495,MATCH(E118,'Dashboard Items'!$A$2:$A$495,0)),""))="Key Service",IF(O118="No","Key Service: shown, not counted","Counts in Key Service gauge"),IF(IF(D118&lt;&gt;"",D118,IFERROR(INDEX('Dashboard Items'!$B$2:$B$495,MATCH(E118,'Dashboard Items'!$A$2:$A$495,0)),""))="Program",IF(ISNUMBER(SEARCH("ks",G118)),IF(O118="No","Program, also at Key Service: not counted","Counts in Key Service gauge + sets Program chip"),IF(O118="No","Program: shown, no status chip","Sets Program status chip")),IF(IF(D118&lt;&gt;"",D118,IFERROR(INDEX('Dashboard Items'!$B$2:$B$495,MATCH(E118,'Dashboard Items'!$A$2:$A$495,0)),""))="Work System","Work System: shown, not counted","Check Level"))))</f>
        <v/>
      </c>
    </row>
    <row r="119" ht="15" customHeight="1" s="210">
      <c r="A119" s="350">
        <f>LEFT(B119, FIND("-", B119) - 1)</f>
        <v/>
      </c>
      <c r="B119" s="351" t="inlineStr">
        <is>
          <t>COMDEV-LANDUSEDAYS</t>
        </is>
      </c>
      <c r="C119" s="352" t="inlineStr">
        <is>
          <t>Land use permits: Median number of days for application submittal to approval/completion (extreme outliers) - pre app, sign permits, limited use permits</t>
        </is>
      </c>
      <c r="D119" s="351" t="inlineStr">
        <is>
          <t>Key Service</t>
        </is>
      </c>
      <c r="E119" s="351" t="inlineStr">
        <is>
          <t>ks8</t>
        </is>
      </c>
      <c r="F119" s="353">
        <f>IF(E119="","",IFERROR(IF(INDEX('Dashboard Items'!$B$2:$B$495,MATCH(E119,'Dashboard Items'!$A$2:$A$495,0))="Objective","Objectives go in the next column",IF(OR(D119="",INDEX('Dashboard Items'!$B$2:$B$495,MATCH(E119,'Dashboard Items'!$A$2:$A$495,0))=D119),INDEX('Dashboard Items'!$C$2:$C$495,MATCH(E119,'Dashboard Items'!$A$2:$A$495,0)),"Level does not match ID")),"ID not found"))</f>
        <v/>
      </c>
      <c r="G119" s="354" t="inlineStr">
        <is>
          <t>p36</t>
        </is>
      </c>
      <c r="H119" s="353">
        <f>IF(G119="","",IF(ISNUMBER(SEARCH(",",G119)),"Several items (the script lists them)",IFERROR(INDEX('Dashboard Items'!$B$2:$B$495,MATCH(G119,'Dashboard Items'!$A$2:$A$495,0))&amp;": "&amp;INDEX('Dashboard Items'!$C$2:$C$495,MATCH(G119,'Dashboard Items'!$A$2:$A$495,0)),"ID not found")))</f>
        <v/>
      </c>
      <c r="I119" s="351" t="n"/>
      <c r="J119" s="351" t="n"/>
      <c r="K119" s="351" t="n"/>
      <c r="L119" s="351" t="n"/>
      <c r="M119" s="351" t="n"/>
      <c r="N119" s="351" t="n"/>
      <c r="O119" s="351" t="n"/>
      <c r="P119" s="351" t="n"/>
      <c r="Q119" s="351" t="n"/>
      <c r="R119" s="351" t="n"/>
      <c r="S119" s="351" t="n"/>
      <c r="T119" s="351" t="n"/>
      <c r="U119" s="355">
        <f>IF(B119="","",IF(IF(D119&lt;&gt;"",D119,IFERROR(INDEX('Dashboard Items'!$B$2:$B$495,MATCH(E119,'Dashboard Items'!$A$2:$A$495,0)),""))="Key Service",IF(O119="No","Key Service: shown, not counted","Counts in Key Service gauge"),IF(IF(D119&lt;&gt;"",D119,IFERROR(INDEX('Dashboard Items'!$B$2:$B$495,MATCH(E119,'Dashboard Items'!$A$2:$A$495,0)),""))="Program",IF(ISNUMBER(SEARCH("ks",G119)),IF(O119="No","Program, also at Key Service: not counted","Counts in Key Service gauge + sets Program chip"),IF(O119="No","Program: shown, no status chip","Sets Program status chip")),IF(IF(D119&lt;&gt;"",D119,IFERROR(INDEX('Dashboard Items'!$B$2:$B$495,MATCH(E119,'Dashboard Items'!$A$2:$A$495,0)),""))="Work System","Work System: shown, not counted","Check Level"))))</f>
        <v/>
      </c>
    </row>
    <row r="120" ht="15" customHeight="1" s="210">
      <c r="A120" s="350">
        <f>LEFT(B120, FIND("-", B120) - 1)</f>
        <v/>
      </c>
      <c r="B120" s="351" t="inlineStr">
        <is>
          <t>COMDEV-PREAPPSLA</t>
        </is>
      </c>
      <c r="C120" s="352" t="inlineStr">
        <is>
          <t>Median number of days for application submittal to approval/completion (extreme outliers) - pre app in two weeks/or other SLA</t>
        </is>
      </c>
      <c r="D120" s="351" t="inlineStr">
        <is>
          <t>Program</t>
        </is>
      </c>
      <c r="E120" s="351" t="inlineStr">
        <is>
          <t>p36</t>
        </is>
      </c>
      <c r="F120" s="353">
        <f>IF(E120="","",IFERROR(IF(INDEX('Dashboard Items'!$B$2:$B$495,MATCH(E120,'Dashboard Items'!$A$2:$A$495,0))="Objective","Objectives go in the next column",IF(OR(D120="",INDEX('Dashboard Items'!$B$2:$B$495,MATCH(E120,'Dashboard Items'!$A$2:$A$495,0))=D120),INDEX('Dashboard Items'!$C$2:$C$495,MATCH(E120,'Dashboard Items'!$A$2:$A$495,0)),"Level does not match ID")),"ID not found"))</f>
        <v/>
      </c>
      <c r="G120" s="354" t="n"/>
      <c r="H120" s="353">
        <f>IF(G120="","",IF(ISNUMBER(SEARCH(",",G120)),"Several items (the script lists them)",IFERROR(INDEX('Dashboard Items'!$B$2:$B$495,MATCH(G120,'Dashboard Items'!$A$2:$A$495,0))&amp;": "&amp;INDEX('Dashboard Items'!$C$2:$C$495,MATCH(G120,'Dashboard Items'!$A$2:$A$495,0)),"ID not found")))</f>
        <v/>
      </c>
      <c r="I120" s="351" t="n"/>
      <c r="J120" s="351" t="n"/>
      <c r="K120" s="351" t="n"/>
      <c r="L120" s="351" t="n"/>
      <c r="M120" s="351" t="n"/>
      <c r="N120" s="351" t="n"/>
      <c r="O120" s="351" t="n"/>
      <c r="P120" s="351" t="n"/>
      <c r="Q120" s="351" t="n"/>
      <c r="R120" s="351" t="n"/>
      <c r="S120" s="351" t="n"/>
      <c r="T120" s="351" t="n"/>
      <c r="U120" s="355">
        <f>IF(B120="","",IF(IF(D120&lt;&gt;"",D120,IFERROR(INDEX('Dashboard Items'!$B$2:$B$495,MATCH(E120,'Dashboard Items'!$A$2:$A$495,0)),""))="Key Service",IF(O120="No","Key Service: shown, not counted","Counts in Key Service gauge"),IF(IF(D120&lt;&gt;"",D120,IFERROR(INDEX('Dashboard Items'!$B$2:$B$495,MATCH(E120,'Dashboard Items'!$A$2:$A$495,0)),""))="Program",IF(ISNUMBER(SEARCH("ks",G120)),IF(O120="No","Program, also at Key Service: not counted","Counts in Key Service gauge + sets Program chip"),IF(O120="No","Program: shown, no status chip","Sets Program status chip")),IF(IF(D120&lt;&gt;"",D120,IFERROR(INDEX('Dashboard Items'!$B$2:$B$495,MATCH(E120,'Dashboard Items'!$A$2:$A$495,0)),""))="Work System","Work System: shown, not counted","Check Level"))))</f>
        <v/>
      </c>
    </row>
    <row r="121" ht="15" customHeight="1" s="210">
      <c r="A121" s="350">
        <f>LEFT(B121, FIND("-", B121) - 1)</f>
        <v/>
      </c>
      <c r="B121" s="351" t="inlineStr">
        <is>
          <t>COMDEV-REVIEW21</t>
        </is>
      </c>
      <c r="C121" s="352" t="inlineStr">
        <is>
          <t>% of applications with a complete review within 21 days</t>
        </is>
      </c>
      <c r="D121" s="351" t="inlineStr">
        <is>
          <t>Program</t>
        </is>
      </c>
      <c r="E121" s="351" t="inlineStr">
        <is>
          <t>p36</t>
        </is>
      </c>
      <c r="F121" s="353">
        <f>IF(E121="","",IFERROR(IF(INDEX('Dashboard Items'!$B$2:$B$495,MATCH(E121,'Dashboard Items'!$A$2:$A$495,0))="Objective","Objectives go in the next column",IF(OR(D121="",INDEX('Dashboard Items'!$B$2:$B$495,MATCH(E121,'Dashboard Items'!$A$2:$A$495,0))=D121),INDEX('Dashboard Items'!$C$2:$C$495,MATCH(E121,'Dashboard Items'!$A$2:$A$495,0)),"Level does not match ID")),"ID not found"))</f>
        <v/>
      </c>
      <c r="G121" s="354" t="n"/>
      <c r="H121" s="353">
        <f>IF(G121="","",IF(ISNUMBER(SEARCH(",",G121)),"Several items (the script lists them)",IFERROR(INDEX('Dashboard Items'!$B$2:$B$495,MATCH(G121,'Dashboard Items'!$A$2:$A$495,0))&amp;": "&amp;INDEX('Dashboard Items'!$C$2:$C$495,MATCH(G121,'Dashboard Items'!$A$2:$A$495,0)),"ID not found")))</f>
        <v/>
      </c>
      <c r="I121" s="351" t="n"/>
      <c r="J121" s="351" t="n"/>
      <c r="K121" s="351" t="n"/>
      <c r="L121" s="351" t="n"/>
      <c r="M121" s="351" t="n"/>
      <c r="N121" s="351" t="n"/>
      <c r="O121" s="351" t="n"/>
      <c r="P121" s="351" t="n"/>
      <c r="Q121" s="351" t="n"/>
      <c r="R121" s="351" t="n"/>
      <c r="S121" s="351" t="n"/>
      <c r="T121" s="351" t="n"/>
      <c r="U121" s="355">
        <f>IF(B121="","",IF(IF(D121&lt;&gt;"",D121,IFERROR(INDEX('Dashboard Items'!$B$2:$B$495,MATCH(E121,'Dashboard Items'!$A$2:$A$495,0)),""))="Key Service",IF(O121="No","Key Service: shown, not counted","Counts in Key Service gauge"),IF(IF(D121&lt;&gt;"",D121,IFERROR(INDEX('Dashboard Items'!$B$2:$B$495,MATCH(E121,'Dashboard Items'!$A$2:$A$495,0)),""))="Program",IF(ISNUMBER(SEARCH("ks",G121)),IF(O121="No","Program, also at Key Service: not counted","Counts in Key Service gauge + sets Program chip"),IF(O121="No","Program: shown, no status chip","Sets Program status chip")),IF(IF(D121&lt;&gt;"",D121,IFERROR(INDEX('Dashboard Items'!$B$2:$B$495,MATCH(E121,'Dashboard Items'!$A$2:$A$495,0)),""))="Work System","Work System: shown, not counted","Check Level"))))</f>
        <v/>
      </c>
    </row>
    <row r="122" ht="15" customHeight="1" s="210">
      <c r="A122" s="350">
        <f>LEFT(B122, FIND("-", B122) - 1)</f>
        <v/>
      </c>
      <c r="B122" s="351" t="inlineStr">
        <is>
          <t>COMDEV-QUICKPERMIT48</t>
        </is>
      </c>
      <c r="C122" s="352" t="inlineStr">
        <is>
          <t>% of solar, roofing, windows, siding permits issued in 48 hours</t>
        </is>
      </c>
      <c r="D122" s="351" t="inlineStr">
        <is>
          <t>Program</t>
        </is>
      </c>
      <c r="E122" s="351" t="inlineStr">
        <is>
          <t>p36</t>
        </is>
      </c>
      <c r="F122" s="353">
        <f>IF(E122="","",IFERROR(IF(INDEX('Dashboard Items'!$B$2:$B$495,MATCH(E122,'Dashboard Items'!$A$2:$A$495,0))="Objective","Objectives go in the next column",IF(OR(D122="",INDEX('Dashboard Items'!$B$2:$B$495,MATCH(E122,'Dashboard Items'!$A$2:$A$495,0))=D122),INDEX('Dashboard Items'!$C$2:$C$495,MATCH(E122,'Dashboard Items'!$A$2:$A$495,0)),"Level does not match ID")),"ID not found"))</f>
        <v/>
      </c>
      <c r="G122" s="354" t="n"/>
      <c r="H122" s="353">
        <f>IF(G122="","",IF(ISNUMBER(SEARCH(",",G122)),"Several items (the script lists them)",IFERROR(INDEX('Dashboard Items'!$B$2:$B$495,MATCH(G122,'Dashboard Items'!$A$2:$A$495,0))&amp;": "&amp;INDEX('Dashboard Items'!$C$2:$C$495,MATCH(G122,'Dashboard Items'!$A$2:$A$495,0)),"ID not found")))</f>
        <v/>
      </c>
      <c r="I122" s="351" t="n"/>
      <c r="J122" s="351" t="n"/>
      <c r="K122" s="351" t="n"/>
      <c r="L122" s="351" t="n"/>
      <c r="M122" s="351" t="n"/>
      <c r="N122" s="351" t="n"/>
      <c r="O122" s="351" t="n"/>
      <c r="P122" s="351" t="n"/>
      <c r="Q122" s="351" t="n"/>
      <c r="R122" s="351" t="n"/>
      <c r="S122" s="351" t="n"/>
      <c r="T122" s="351" t="n"/>
      <c r="U122" s="355">
        <f>IF(B122="","",IF(IF(D122&lt;&gt;"",D122,IFERROR(INDEX('Dashboard Items'!$B$2:$B$495,MATCH(E122,'Dashboard Items'!$A$2:$A$495,0)),""))="Key Service",IF(O122="No","Key Service: shown, not counted","Counts in Key Service gauge"),IF(IF(D122&lt;&gt;"",D122,IFERROR(INDEX('Dashboard Items'!$B$2:$B$495,MATCH(E122,'Dashboard Items'!$A$2:$A$495,0)),""))="Program",IF(ISNUMBER(SEARCH("ks",G122)),IF(O122="No","Program, also at Key Service: not counted","Counts in Key Service gauge + sets Program chip"),IF(O122="No","Program: shown, no status chip","Sets Program status chip")),IF(IF(D122&lt;&gt;"",D122,IFERROR(INDEX('Dashboard Items'!$B$2:$B$495,MATCH(E122,'Dashboard Items'!$A$2:$A$495,0)),""))="Work System","Work System: shown, not counted","Check Level"))))</f>
        <v/>
      </c>
    </row>
    <row r="123" ht="15" customHeight="1" s="210">
      <c r="A123" s="350">
        <f>LEFT(B123, FIND("-", B123) - 1)</f>
        <v/>
      </c>
      <c r="B123" s="351" t="inlineStr">
        <is>
          <t>COMDEV-DWELLINGGROWTH</t>
        </is>
      </c>
      <c r="C123" s="352" t="inlineStr">
        <is>
          <t>Dwelling units created each year/existing units = percent increase</t>
        </is>
      </c>
      <c r="D123" s="351" t="inlineStr">
        <is>
          <t>Program</t>
        </is>
      </c>
      <c r="E123" s="351" t="inlineStr">
        <is>
          <t>p37</t>
        </is>
      </c>
      <c r="F123" s="353">
        <f>IF(E123="","",IFERROR(IF(INDEX('Dashboard Items'!$B$2:$B$495,MATCH(E123,'Dashboard Items'!$A$2:$A$495,0))="Objective","Objectives go in the next column",IF(OR(D123="",INDEX('Dashboard Items'!$B$2:$B$495,MATCH(E123,'Dashboard Items'!$A$2:$A$495,0))=D123),INDEX('Dashboard Items'!$C$2:$C$495,MATCH(E123,'Dashboard Items'!$A$2:$A$495,0)),"Level does not match ID")),"ID not found"))</f>
        <v/>
      </c>
      <c r="G123" s="354" t="inlineStr">
        <is>
          <t>p35</t>
        </is>
      </c>
      <c r="H123" s="353">
        <f>IF(G123="","",IF(ISNUMBER(SEARCH(",",G123)),"Several items (the script lists them)",IFERROR(INDEX('Dashboard Items'!$B$2:$B$495,MATCH(G123,'Dashboard Items'!$A$2:$A$495,0))&amp;": "&amp;INDEX('Dashboard Items'!$C$2:$C$495,MATCH(G123,'Dashboard Items'!$A$2:$A$495,0)),"ID not found")))</f>
        <v/>
      </c>
      <c r="I123" s="351" t="n"/>
      <c r="J123" s="351" t="n"/>
      <c r="K123" s="351" t="n"/>
      <c r="L123" s="351" t="n"/>
      <c r="M123" s="351" t="n"/>
      <c r="N123" s="351" t="n"/>
      <c r="O123" s="351" t="n"/>
      <c r="P123" s="351" t="n"/>
      <c r="Q123" s="351" t="n"/>
      <c r="R123" s="351" t="n"/>
      <c r="S123" s="351" t="n"/>
      <c r="T123" s="351" t="n"/>
      <c r="U123" s="355">
        <f>IF(B123="","",IF(IF(D123&lt;&gt;"",D123,IFERROR(INDEX('Dashboard Items'!$B$2:$B$495,MATCH(E123,'Dashboard Items'!$A$2:$A$495,0)),""))="Key Service",IF(O123="No","Key Service: shown, not counted","Counts in Key Service gauge"),IF(IF(D123&lt;&gt;"",D123,IFERROR(INDEX('Dashboard Items'!$B$2:$B$495,MATCH(E123,'Dashboard Items'!$A$2:$A$495,0)),""))="Program",IF(ISNUMBER(SEARCH("ks",G123)),IF(O123="No","Program, also at Key Service: not counted","Counts in Key Service gauge + sets Program chip"),IF(O123="No","Program: shown, no status chip","Sets Program status chip")),IF(IF(D123&lt;&gt;"",D123,IFERROR(INDEX('Dashboard Items'!$B$2:$B$495,MATCH(E123,'Dashboard Items'!$A$2:$A$495,0)),""))="Work System","Work System: shown, not counted","Check Level"))))</f>
        <v/>
      </c>
    </row>
    <row r="124" ht="15" customHeight="1" s="210">
      <c r="A124" s="350">
        <f>LEFT(B124, FIND("-", B124) - 1)</f>
        <v/>
      </c>
      <c r="B124" s="351" t="inlineStr">
        <is>
          <t>COMDEV-ADUCOMPLY</t>
        </is>
      </c>
      <c r="C124" s="352" t="inlineStr">
        <is>
          <t>ADU Owner Occupancy Compliance</t>
        </is>
      </c>
      <c r="D124" s="351" t="inlineStr">
        <is>
          <t>Program</t>
        </is>
      </c>
      <c r="E124" s="351" t="inlineStr">
        <is>
          <t>p37</t>
        </is>
      </c>
      <c r="F124" s="353">
        <f>IF(E124="","",IFERROR(IF(INDEX('Dashboard Items'!$B$2:$B$495,MATCH(E124,'Dashboard Items'!$A$2:$A$495,0))="Objective","Objectives go in the next column",IF(OR(D124="",INDEX('Dashboard Items'!$B$2:$B$495,MATCH(E124,'Dashboard Items'!$A$2:$A$495,0))=D124),INDEX('Dashboard Items'!$C$2:$C$495,MATCH(E124,'Dashboard Items'!$A$2:$A$495,0)),"Level does not match ID")),"ID not found"))</f>
        <v/>
      </c>
      <c r="G124" s="354" t="n"/>
      <c r="H124" s="353">
        <f>IF(G124="","",IF(ISNUMBER(SEARCH(",",G124)),"Several items (the script lists them)",IFERROR(INDEX('Dashboard Items'!$B$2:$B$495,MATCH(G124,'Dashboard Items'!$A$2:$A$495,0))&amp;": "&amp;INDEX('Dashboard Items'!$C$2:$C$495,MATCH(G124,'Dashboard Items'!$A$2:$A$495,0)),"ID not found")))</f>
        <v/>
      </c>
      <c r="I124" s="351" t="n"/>
      <c r="J124" s="351" t="n"/>
      <c r="K124" s="351" t="n"/>
      <c r="L124" s="351" t="n"/>
      <c r="M124" s="351" t="n"/>
      <c r="N124" s="351" t="n"/>
      <c r="O124" s="351" t="n"/>
      <c r="P124" s="351" t="n"/>
      <c r="Q124" s="351" t="n"/>
      <c r="R124" s="351" t="n"/>
      <c r="S124" s="351" t="n"/>
      <c r="T124" s="351" t="n"/>
      <c r="U124" s="355">
        <f>IF(B124="","",IF(IF(D124&lt;&gt;"",D124,IFERROR(INDEX('Dashboard Items'!$B$2:$B$495,MATCH(E124,'Dashboard Items'!$A$2:$A$495,0)),""))="Key Service",IF(O124="No","Key Service: shown, not counted","Counts in Key Service gauge"),IF(IF(D124&lt;&gt;"",D124,IFERROR(INDEX('Dashboard Items'!$B$2:$B$495,MATCH(E124,'Dashboard Items'!$A$2:$A$495,0)),""))="Program",IF(ISNUMBER(SEARCH("ks",G124)),IF(O124="No","Program, also at Key Service: not counted","Counts in Key Service gauge + sets Program chip"),IF(O124="No","Program: shown, no status chip","Sets Program status chip")),IF(IF(D124&lt;&gt;"",D124,IFERROR(INDEX('Dashboard Items'!$B$2:$B$495,MATCH(E124,'Dashboard Items'!$A$2:$A$495,0)),""))="Work System","Work System: shown, not counted","Check Level"))))</f>
        <v/>
      </c>
    </row>
    <row r="125" ht="15" customHeight="1" s="210">
      <c r="A125" s="350">
        <f>LEFT(B125, FIND("-", B125) - 1)</f>
        <v/>
      </c>
      <c r="B125" s="351" t="inlineStr">
        <is>
          <t>COMDEV-ALTCERTS</t>
        </is>
      </c>
      <c r="C125" s="352" t="inlineStr">
        <is>
          <t>Percent of alteration certificates completed within the 3rd avenue district</t>
        </is>
      </c>
      <c r="D125" s="351" t="inlineStr">
        <is>
          <t>Program</t>
        </is>
      </c>
      <c r="E125" s="351" t="inlineStr">
        <is>
          <t>p38</t>
        </is>
      </c>
      <c r="F125" s="353">
        <f>IF(E125="","",IFERROR(IF(INDEX('Dashboard Items'!$B$2:$B$495,MATCH(E125,'Dashboard Items'!$A$2:$A$495,0))="Objective","Objectives go in the next column",IF(OR(D125="",INDEX('Dashboard Items'!$B$2:$B$495,MATCH(E125,'Dashboard Items'!$A$2:$A$495,0))=D125),INDEX('Dashboard Items'!$C$2:$C$495,MATCH(E125,'Dashboard Items'!$A$2:$A$495,0)),"Level does not match ID")),"ID not found"))</f>
        <v/>
      </c>
      <c r="G125" s="354" t="n"/>
      <c r="H125" s="353">
        <f>IF(G125="","",IF(ISNUMBER(SEARCH(",",G125)),"Several items (the script lists them)",IFERROR(INDEX('Dashboard Items'!$B$2:$B$495,MATCH(G125,'Dashboard Items'!$A$2:$A$495,0))&amp;": "&amp;INDEX('Dashboard Items'!$C$2:$C$495,MATCH(G125,'Dashboard Items'!$A$2:$A$495,0)),"ID not found")))</f>
        <v/>
      </c>
      <c r="I125" s="351" t="n"/>
      <c r="J125" s="351" t="n"/>
      <c r="K125" s="351" t="n"/>
      <c r="L125" s="351" t="n"/>
      <c r="M125" s="351" t="n"/>
      <c r="N125" s="351" t="n"/>
      <c r="O125" s="351" t="n"/>
      <c r="P125" s="351" t="n"/>
      <c r="Q125" s="351" t="n"/>
      <c r="R125" s="351" t="n"/>
      <c r="S125" s="351" t="n"/>
      <c r="T125" s="351" t="n"/>
      <c r="U125" s="355">
        <f>IF(B125="","",IF(IF(D125&lt;&gt;"",D125,IFERROR(INDEX('Dashboard Items'!$B$2:$B$495,MATCH(E125,'Dashboard Items'!$A$2:$A$495,0)),""))="Key Service",IF(O125="No","Key Service: shown, not counted","Counts in Key Service gauge"),IF(IF(D125&lt;&gt;"",D125,IFERROR(INDEX('Dashboard Items'!$B$2:$B$495,MATCH(E125,'Dashboard Items'!$A$2:$A$495,0)),""))="Program",IF(ISNUMBER(SEARCH("ks",G125)),IF(O125="No","Program, also at Key Service: not counted","Counts in Key Service gauge + sets Program chip"),IF(O125="No","Program: shown, no status chip","Sets Program status chip")),IF(IF(D125&lt;&gt;"",D125,IFERROR(INDEX('Dashboard Items'!$B$2:$B$495,MATCH(E125,'Dashboard Items'!$A$2:$A$495,0)),""))="Work System","Work System: shown, not counted","Check Level"))))</f>
        <v/>
      </c>
    </row>
    <row r="126" ht="15" customHeight="1" s="210">
      <c r="A126" s="350">
        <f>LEFT(B126, FIND("-", B126) - 1)</f>
        <v/>
      </c>
      <c r="B126" s="351" t="inlineStr">
        <is>
          <t>PD-COMPLAINTTRENDS</t>
        </is>
      </c>
      <c r="C126" s="352" t="inlineStr">
        <is>
          <t>Trends in complaints vs historical (code enforcement)</t>
        </is>
      </c>
      <c r="D126" s="351" t="inlineStr">
        <is>
          <t>Program</t>
        </is>
      </c>
      <c r="E126" s="351" t="inlineStr">
        <is>
          <t>p51</t>
        </is>
      </c>
      <c r="F126" s="353">
        <f>IF(E126="","",IFERROR(IF(INDEX('Dashboard Items'!$B$2:$B$495,MATCH(E126,'Dashboard Items'!$A$2:$A$495,0))="Objective","Objectives go in the next column",IF(OR(D126="",INDEX('Dashboard Items'!$B$2:$B$495,MATCH(E126,'Dashboard Items'!$A$2:$A$495,0))=D126),INDEX('Dashboard Items'!$C$2:$C$495,MATCH(E126,'Dashboard Items'!$A$2:$A$495,0)),"Level does not match ID")),"ID not found"))</f>
        <v/>
      </c>
      <c r="G126" s="354" t="n"/>
      <c r="H126" s="353">
        <f>IF(G126="","",IF(ISNUMBER(SEARCH(",",G126)),"Several items (the script lists them)",IFERROR(INDEX('Dashboard Items'!$B$2:$B$495,MATCH(G126,'Dashboard Items'!$A$2:$A$495,0))&amp;": "&amp;INDEX('Dashboard Items'!$C$2:$C$495,MATCH(G126,'Dashboard Items'!$A$2:$A$495,0)),"ID not found")))</f>
        <v/>
      </c>
      <c r="I126" s="351" t="n"/>
      <c r="J126" s="351" t="n"/>
      <c r="K126" s="351" t="n"/>
      <c r="L126" s="351" t="n"/>
      <c r="M126" s="351" t="n"/>
      <c r="N126" s="351" t="n"/>
      <c r="O126" s="351" t="n"/>
      <c r="P126" s="351" t="n"/>
      <c r="Q126" s="351" t="n"/>
      <c r="R126" s="351" t="n"/>
      <c r="S126" s="351" t="n"/>
      <c r="T126" s="351" t="n"/>
      <c r="U126" s="355">
        <f>IF(B126="","",IF(IF(D126&lt;&gt;"",D126,IFERROR(INDEX('Dashboard Items'!$B$2:$B$495,MATCH(E126,'Dashboard Items'!$A$2:$A$495,0)),""))="Key Service",IF(O126="No","Key Service: shown, not counted","Counts in Key Service gauge"),IF(IF(D126&lt;&gt;"",D126,IFERROR(INDEX('Dashboard Items'!$B$2:$B$495,MATCH(E126,'Dashboard Items'!$A$2:$A$495,0)),""))="Program",IF(ISNUMBER(SEARCH("ks",G126)),IF(O126="No","Program, also at Key Service: not counted","Counts in Key Service gauge + sets Program chip"),IF(O126="No","Program: shown, no status chip","Sets Program status chip")),IF(IF(D126&lt;&gt;"",D126,IFERROR(INDEX('Dashboard Items'!$B$2:$B$495,MATCH(E126,'Dashboard Items'!$A$2:$A$495,0)),""))="Work System","Work System: shown, not counted","Check Level"))))</f>
        <v/>
      </c>
    </row>
    <row r="127" ht="15" customHeight="1" s="210">
      <c r="A127" s="350">
        <f>LEFT(B127, FIND("-", B127) - 1)</f>
        <v/>
      </c>
      <c r="B127" s="351" t="inlineStr">
        <is>
          <t>COURT-TRAFFICCASES</t>
        </is>
      </c>
      <c r="C127" s="352" t="inlineStr">
        <is>
          <t>Traffic Court number of cases</t>
        </is>
      </c>
      <c r="D127" s="351" t="inlineStr">
        <is>
          <t>Program</t>
        </is>
      </c>
      <c r="E127" s="351" t="inlineStr">
        <is>
          <t>p55</t>
        </is>
      </c>
      <c r="F127" s="353">
        <f>IF(E127="","",IFERROR(IF(INDEX('Dashboard Items'!$B$2:$B$495,MATCH(E127,'Dashboard Items'!$A$2:$A$495,0))="Objective","Objectives go in the next column",IF(OR(D127="",INDEX('Dashboard Items'!$B$2:$B$495,MATCH(E127,'Dashboard Items'!$A$2:$A$495,0))=D127),INDEX('Dashboard Items'!$C$2:$C$495,MATCH(E127,'Dashboard Items'!$A$2:$A$495,0)),"Level does not match ID")),"ID not found"))</f>
        <v/>
      </c>
      <c r="G127" s="354" t="n"/>
      <c r="H127" s="353">
        <f>IF(G127="","",IF(ISNUMBER(SEARCH(",",G127)),"Several items (the script lists them)",IFERROR(INDEX('Dashboard Items'!$B$2:$B$495,MATCH(G127,'Dashboard Items'!$A$2:$A$495,0))&amp;": "&amp;INDEX('Dashboard Items'!$C$2:$C$495,MATCH(G127,'Dashboard Items'!$A$2:$A$495,0)),"ID not found")))</f>
        <v/>
      </c>
      <c r="I127" s="351" t="n"/>
      <c r="J127" s="351" t="n"/>
      <c r="K127" s="351" t="n"/>
      <c r="L127" s="351" t="n"/>
      <c r="M127" s="351" t="n"/>
      <c r="N127" s="351" t="n"/>
      <c r="O127" s="351" t="n"/>
      <c r="P127" s="351" t="n"/>
      <c r="Q127" s="351" t="n"/>
      <c r="R127" s="351" t="n"/>
      <c r="S127" s="351" t="n"/>
      <c r="T127" s="351" t="n"/>
      <c r="U127" s="355">
        <f>IF(B127="","",IF(IF(D127&lt;&gt;"",D127,IFERROR(INDEX('Dashboard Items'!$B$2:$B$495,MATCH(E127,'Dashboard Items'!$A$2:$A$495,0)),""))="Key Service",IF(O127="No","Key Service: shown, not counted","Counts in Key Service gauge"),IF(IF(D127&lt;&gt;"",D127,IFERROR(INDEX('Dashboard Items'!$B$2:$B$495,MATCH(E127,'Dashboard Items'!$A$2:$A$495,0)),""))="Program",IF(ISNUMBER(SEARCH("ks",G127)),IF(O127="No","Program, also at Key Service: not counted","Counts in Key Service gauge + sets Program chip"),IF(O127="No","Program: shown, no status chip","Sets Program status chip")),IF(IF(D127&lt;&gt;"",D127,IFERROR(INDEX('Dashboard Items'!$B$2:$B$495,MATCH(E127,'Dashboard Items'!$A$2:$A$495,0)),""))="Work System","Work System: shown, not counted","Check Level"))))</f>
        <v/>
      </c>
    </row>
    <row r="128" ht="15" customHeight="1" s="210">
      <c r="A128" s="350">
        <f>LEFT(B128, FIND("-", B128) - 1)</f>
        <v/>
      </c>
      <c r="B128" s="351" t="inlineStr">
        <is>
          <t>COURT-JUVCASES</t>
        </is>
      </c>
      <c r="C128" s="352" t="inlineStr">
        <is>
          <t>Juvenile Court number of cases</t>
        </is>
      </c>
      <c r="D128" s="351" t="inlineStr">
        <is>
          <t>Program</t>
        </is>
      </c>
      <c r="E128" s="351" t="inlineStr">
        <is>
          <t>p55</t>
        </is>
      </c>
      <c r="F128" s="353">
        <f>IF(E128="","",IFERROR(IF(INDEX('Dashboard Items'!$B$2:$B$495,MATCH(E128,'Dashboard Items'!$A$2:$A$495,0))="Objective","Objectives go in the next column",IF(OR(D128="",INDEX('Dashboard Items'!$B$2:$B$495,MATCH(E128,'Dashboard Items'!$A$2:$A$495,0))=D128),INDEX('Dashboard Items'!$C$2:$C$495,MATCH(E128,'Dashboard Items'!$A$2:$A$495,0)),"Level does not match ID")),"ID not found"))</f>
        <v/>
      </c>
      <c r="G128" s="354" t="n"/>
      <c r="H128" s="353">
        <f>IF(G128="","",IF(ISNUMBER(SEARCH(",",G128)),"Several items (the script lists them)",IFERROR(INDEX('Dashboard Items'!$B$2:$B$495,MATCH(G128,'Dashboard Items'!$A$2:$A$495,0))&amp;": "&amp;INDEX('Dashboard Items'!$C$2:$C$495,MATCH(G128,'Dashboard Items'!$A$2:$A$495,0)),"ID not found")))</f>
        <v/>
      </c>
      <c r="I128" s="351" t="n"/>
      <c r="J128" s="351" t="n"/>
      <c r="K128" s="351" t="n"/>
      <c r="L128" s="351" t="n"/>
      <c r="M128" s="351" t="n"/>
      <c r="N128" s="351" t="n"/>
      <c r="O128" s="351" t="n"/>
      <c r="P128" s="351" t="n"/>
      <c r="Q128" s="351" t="n"/>
      <c r="R128" s="351" t="n"/>
      <c r="S128" s="351" t="n"/>
      <c r="T128" s="351" t="n"/>
      <c r="U128" s="355">
        <f>IF(B128="","",IF(IF(D128&lt;&gt;"",D128,IFERROR(INDEX('Dashboard Items'!$B$2:$B$495,MATCH(E128,'Dashboard Items'!$A$2:$A$495,0)),""))="Key Service",IF(O128="No","Key Service: shown, not counted","Counts in Key Service gauge"),IF(IF(D128&lt;&gt;"",D128,IFERROR(INDEX('Dashboard Items'!$B$2:$B$495,MATCH(E128,'Dashboard Items'!$A$2:$A$495,0)),""))="Program",IF(ISNUMBER(SEARCH("ks",G128)),IF(O128="No","Program, also at Key Service: not counted","Counts in Key Service gauge + sets Program chip"),IF(O128="No","Program: shown, no status chip","Sets Program status chip")),IF(IF(D128&lt;&gt;"",D128,IFERROR(INDEX('Dashboard Items'!$B$2:$B$495,MATCH(E128,'Dashboard Items'!$A$2:$A$495,0)),""))="Work System","Work System: shown, not counted","Check Level"))))</f>
        <v/>
      </c>
    </row>
    <row r="129" ht="15" customHeight="1" s="210">
      <c r="A129" s="350">
        <f>LEFT(B129, FIND("-", B129) - 1)</f>
        <v/>
      </c>
      <c r="B129" s="351" t="inlineStr">
        <is>
          <t>COURT-CRIMCASES</t>
        </is>
      </c>
      <c r="C129" s="352" t="inlineStr">
        <is>
          <t>Criminal Court number of cases</t>
        </is>
      </c>
      <c r="D129" s="351" t="inlineStr">
        <is>
          <t>Program</t>
        </is>
      </c>
      <c r="E129" s="351" t="inlineStr">
        <is>
          <t>p55</t>
        </is>
      </c>
      <c r="F129" s="353">
        <f>IF(E129="","",IFERROR(IF(INDEX('Dashboard Items'!$B$2:$B$495,MATCH(E129,'Dashboard Items'!$A$2:$A$495,0))="Objective","Objectives go in the next column",IF(OR(D129="",INDEX('Dashboard Items'!$B$2:$B$495,MATCH(E129,'Dashboard Items'!$A$2:$A$495,0))=D129),INDEX('Dashboard Items'!$C$2:$C$495,MATCH(E129,'Dashboard Items'!$A$2:$A$495,0)),"Level does not match ID")),"ID not found"))</f>
        <v/>
      </c>
      <c r="G129" s="354" t="n"/>
      <c r="H129" s="353">
        <f>IF(G129="","",IF(ISNUMBER(SEARCH(",",G129)),"Several items (the script lists them)",IFERROR(INDEX('Dashboard Items'!$B$2:$B$495,MATCH(G129,'Dashboard Items'!$A$2:$A$495,0))&amp;": "&amp;INDEX('Dashboard Items'!$C$2:$C$495,MATCH(G129,'Dashboard Items'!$A$2:$A$495,0)),"ID not found")))</f>
        <v/>
      </c>
      <c r="I129" s="351" t="n"/>
      <c r="J129" s="351" t="n"/>
      <c r="K129" s="351" t="n"/>
      <c r="L129" s="351" t="n"/>
      <c r="M129" s="351" t="n"/>
      <c r="N129" s="351" t="n"/>
      <c r="O129" s="351" t="n"/>
      <c r="P129" s="351" t="n"/>
      <c r="Q129" s="351" t="n"/>
      <c r="R129" s="351" t="n"/>
      <c r="S129" s="351" t="n"/>
      <c r="T129" s="351" t="n"/>
      <c r="U129" s="355">
        <f>IF(B129="","",IF(IF(D129&lt;&gt;"",D129,IFERROR(INDEX('Dashboard Items'!$B$2:$B$495,MATCH(E129,'Dashboard Items'!$A$2:$A$495,0)),""))="Key Service",IF(O129="No","Key Service: shown, not counted","Counts in Key Service gauge"),IF(IF(D129&lt;&gt;"",D129,IFERROR(INDEX('Dashboard Items'!$B$2:$B$495,MATCH(E129,'Dashboard Items'!$A$2:$A$495,0)),""))="Program",IF(ISNUMBER(SEARCH("ks",G129)),IF(O129="No","Program, also at Key Service: not counted","Counts in Key Service gauge + sets Program chip"),IF(O129="No","Program: shown, no status chip","Sets Program status chip")),IF(IF(D129&lt;&gt;"",D129,IFERROR(INDEX('Dashboard Items'!$B$2:$B$495,MATCH(E129,'Dashboard Items'!$A$2:$A$495,0)),""))="Work System","Work System: shown, not counted","Check Level"))))</f>
        <v/>
      </c>
    </row>
    <row r="130" ht="15" customHeight="1" s="210">
      <c r="A130" s="350">
        <f>LEFT(B130, FIND("-", B130) - 1)</f>
        <v/>
      </c>
      <c r="B130" s="351" t="inlineStr">
        <is>
          <t>TRAN-TOTALRIDERSHIP</t>
        </is>
      </c>
      <c r="C130" s="352" t="inlineStr">
        <is>
          <t>Total Transit Ridership (fixed, para, and micro)</t>
        </is>
      </c>
      <c r="D130" s="351" t="inlineStr">
        <is>
          <t>Key Service</t>
        </is>
      </c>
      <c r="E130" s="351" t="inlineStr">
        <is>
          <t>ks14</t>
        </is>
      </c>
      <c r="F130" s="353">
        <f>IF(E130="","",IFERROR(IF(INDEX('Dashboard Items'!$B$2:$B$495,MATCH(E130,'Dashboard Items'!$A$2:$A$495,0))="Objective","Objectives go in the next column",IF(OR(D130="",INDEX('Dashboard Items'!$B$2:$B$495,MATCH(E130,'Dashboard Items'!$A$2:$A$495,0))=D130),INDEX('Dashboard Items'!$C$2:$C$495,MATCH(E130,'Dashboard Items'!$A$2:$A$495,0)),"Level does not match ID")),"ID not found"))</f>
        <v/>
      </c>
      <c r="G130" s="354" t="n"/>
      <c r="H130" s="353">
        <f>IF(G130="","",IF(ISNUMBER(SEARCH(",",G130)),"Several items (the script lists them)",IFERROR(INDEX('Dashboard Items'!$B$2:$B$495,MATCH(G130,'Dashboard Items'!$A$2:$A$495,0))&amp;": "&amp;INDEX('Dashboard Items'!$C$2:$C$495,MATCH(G130,'Dashboard Items'!$A$2:$A$495,0)),"ID not found")))</f>
        <v/>
      </c>
      <c r="I130" s="351" t="inlineStr">
        <is>
          <t>number</t>
        </is>
      </c>
      <c r="J130" s="351" t="n">
        <v>0</v>
      </c>
      <c r="K130" s="351" t="inlineStr">
        <is>
          <t>Yes</t>
        </is>
      </c>
      <c r="L130" s="351" t="inlineStr">
        <is>
          <t>Target</t>
        </is>
      </c>
      <c r="M130" s="351" t="n">
        <v>0</v>
      </c>
      <c r="N130" s="351" t="n">
        <v>3</v>
      </c>
      <c r="O130" s="351" t="n"/>
      <c r="P130" s="351" t="inlineStr">
        <is>
          <t>Every year</t>
        </is>
      </c>
      <c r="Q130" s="351" t="n"/>
      <c r="R130" s="351" t="inlineStr">
        <is>
          <t>Durango Transit official annual ridership; fixed-route and paratransit breakdown from the monthly ridership report (Ridership_Demographics.xlsx)</t>
        </is>
      </c>
      <c r="S130" s="351" t="inlineStr">
        <is>
          <t>Total rides on Durango Transit each fiscal year, including fixed routes, paratransit and DuranGO! microtransit.</t>
        </is>
      </c>
      <c r="T130" s="351" t="inlineStr">
        <is>
          <t>Target: at least 3% more rides than the previous year (the goal is 3–5% growth a year, in line with the 2–5% industry standard). Growth under 3% shows At Risk; fewer rides than the year before shows Off Track. The 7.7% increase from 2023 to 2024 is mostly due to the evening DuranGO! microtransit expansion. Fixed-route and paratransit rides come from the Durango Transit monthly ridership report. "Other" is the official total minus those two, which is mostly DuranGO! microtransit but may also include small differences between sources.</t>
        </is>
      </c>
      <c r="U130" s="355">
        <f>IF(B130="","",IF(IF(D130&lt;&gt;"",D130,IFERROR(INDEX('Dashboard Items'!$B$2:$B$495,MATCH(E130,'Dashboard Items'!$A$2:$A$495,0)),""))="Key Service",IF(O130="No","Key Service: shown, not counted","Counts in Key Service gauge"),IF(IF(D130&lt;&gt;"",D130,IFERROR(INDEX('Dashboard Items'!$B$2:$B$495,MATCH(E130,'Dashboard Items'!$A$2:$A$495,0)),""))="Program",IF(ISNUMBER(SEARCH("ks",G130)),IF(O130="No","Program, also at Key Service: not counted","Counts in Key Service gauge + sets Program chip"),IF(O130="No","Program: shown, no status chip","Sets Program status chip")),IF(IF(D130&lt;&gt;"",D130,IFERROR(INDEX('Dashboard Items'!$B$2:$B$495,MATCH(E130,'Dashboard Items'!$A$2:$A$495,0)),""))="Work System","Work System: shown, not counted","Check Level"))))</f>
        <v/>
      </c>
    </row>
    <row r="131" ht="15" customHeight="1" s="210">
      <c r="A131" s="350">
        <f>LEFT(B131, FIND("-", B131) - 1)</f>
        <v/>
      </c>
      <c r="B131" s="351" t="inlineStr">
        <is>
          <t>PR-PARKBUDGETACRE</t>
        </is>
      </c>
      <c r="C131" s="352" t="inlineStr">
        <is>
          <t>Ops/capital budget per acre of park space (overlay CoD population)</t>
        </is>
      </c>
      <c r="D131" s="351" t="inlineStr">
        <is>
          <t>Key Service</t>
        </is>
      </c>
      <c r="E131" s="351" t="inlineStr">
        <is>
          <t>ks18</t>
        </is>
      </c>
      <c r="F131" s="353">
        <f>IF(E131="","",IFERROR(IF(INDEX('Dashboard Items'!$B$2:$B$495,MATCH(E131,'Dashboard Items'!$A$2:$A$495,0))="Objective","Objectives go in the next column",IF(OR(D131="",INDEX('Dashboard Items'!$B$2:$B$495,MATCH(E131,'Dashboard Items'!$A$2:$A$495,0))=D131),INDEX('Dashboard Items'!$C$2:$C$495,MATCH(E131,'Dashboard Items'!$A$2:$A$495,0)),"Level does not match ID")),"ID not found"))</f>
        <v/>
      </c>
      <c r="G131" s="354" t="n"/>
      <c r="H131" s="353">
        <f>IF(G131="","",IF(ISNUMBER(SEARCH(",",G131)),"Several items (the script lists them)",IFERROR(INDEX('Dashboard Items'!$B$2:$B$495,MATCH(G131,'Dashboard Items'!$A$2:$A$495,0))&amp;": "&amp;INDEX('Dashboard Items'!$C$2:$C$495,MATCH(G131,'Dashboard Items'!$A$2:$A$495,0)),"ID not found")))</f>
        <v/>
      </c>
      <c r="I131" s="351" t="n"/>
      <c r="J131" s="351" t="n"/>
      <c r="K131" s="351" t="n"/>
      <c r="L131" s="351" t="n"/>
      <c r="M131" s="351" t="n"/>
      <c r="N131" s="351" t="n"/>
      <c r="O131" s="351" t="n"/>
      <c r="P131" s="351" t="n"/>
      <c r="Q131" s="351" t="n"/>
      <c r="R131" s="351" t="n"/>
      <c r="S131" s="351" t="n"/>
      <c r="T131" s="351" t="n"/>
      <c r="U131" s="355">
        <f>IF(B131="","",IF(IF(D131&lt;&gt;"",D131,IFERROR(INDEX('Dashboard Items'!$B$2:$B$495,MATCH(E131,'Dashboard Items'!$A$2:$A$495,0)),""))="Key Service",IF(O131="No","Key Service: shown, not counted","Counts in Key Service gauge"),IF(IF(D131&lt;&gt;"",D131,IFERROR(INDEX('Dashboard Items'!$B$2:$B$495,MATCH(E131,'Dashboard Items'!$A$2:$A$495,0)),""))="Program",IF(ISNUMBER(SEARCH("ks",G131)),IF(O131="No","Program, also at Key Service: not counted","Counts in Key Service gauge + sets Program chip"),IF(O131="No","Program: shown, no status chip","Sets Program status chip")),IF(IF(D131&lt;&gt;"",D131,IFERROR(INDEX('Dashboard Items'!$B$2:$B$495,MATCH(E131,'Dashboard Items'!$A$2:$A$495,0)),""))="Work System","Work System: shown, not counted","Check Level"))))</f>
        <v/>
      </c>
    </row>
    <row r="132" ht="15" customHeight="1" s="210">
      <c r="A132" s="350">
        <f>LEFT(B132, FIND("-", B132) - 1)</f>
        <v/>
      </c>
      <c r="B132" s="351" t="inlineStr">
        <is>
          <t>PR-OSBUDGET1000</t>
        </is>
      </c>
      <c r="C132" s="352" t="inlineStr">
        <is>
          <t>Ops/capital budget per 1,000 acres of open space (overlay CoD population)</t>
        </is>
      </c>
      <c r="D132" s="351" t="inlineStr">
        <is>
          <t>Key Service</t>
        </is>
      </c>
      <c r="E132" s="351" t="inlineStr">
        <is>
          <t>ks18</t>
        </is>
      </c>
      <c r="F132" s="353">
        <f>IF(E132="","",IFERROR(IF(INDEX('Dashboard Items'!$B$2:$B$495,MATCH(E132,'Dashboard Items'!$A$2:$A$495,0))="Objective","Objectives go in the next column",IF(OR(D132="",INDEX('Dashboard Items'!$B$2:$B$495,MATCH(E132,'Dashboard Items'!$A$2:$A$495,0))=D132),INDEX('Dashboard Items'!$C$2:$C$495,MATCH(E132,'Dashboard Items'!$A$2:$A$495,0)),"Level does not match ID")),"ID not found"))</f>
        <v/>
      </c>
      <c r="G132" s="354" t="n"/>
      <c r="H132" s="353">
        <f>IF(G132="","",IF(ISNUMBER(SEARCH(",",G132)),"Several items (the script lists them)",IFERROR(INDEX('Dashboard Items'!$B$2:$B$495,MATCH(G132,'Dashboard Items'!$A$2:$A$495,0))&amp;": "&amp;INDEX('Dashboard Items'!$C$2:$C$495,MATCH(G132,'Dashboard Items'!$A$2:$A$495,0)),"ID not found")))</f>
        <v/>
      </c>
      <c r="I132" s="351" t="n"/>
      <c r="J132" s="351" t="n"/>
      <c r="K132" s="351" t="n"/>
      <c r="L132" s="351" t="n"/>
      <c r="M132" s="351" t="n"/>
      <c r="N132" s="351" t="n"/>
      <c r="O132" s="351" t="n"/>
      <c r="P132" s="351" t="n"/>
      <c r="Q132" s="351" t="n"/>
      <c r="R132" s="351" t="n"/>
      <c r="S132" s="351" t="n"/>
      <c r="T132" s="351" t="n"/>
      <c r="U132" s="355">
        <f>IF(B132="","",IF(IF(D132&lt;&gt;"",D132,IFERROR(INDEX('Dashboard Items'!$B$2:$B$495,MATCH(E132,'Dashboard Items'!$A$2:$A$495,0)),""))="Key Service",IF(O132="No","Key Service: shown, not counted","Counts in Key Service gauge"),IF(IF(D132&lt;&gt;"",D132,IFERROR(INDEX('Dashboard Items'!$B$2:$B$495,MATCH(E132,'Dashboard Items'!$A$2:$A$495,0)),""))="Program",IF(ISNUMBER(SEARCH("ks",G132)),IF(O132="No","Program, also at Key Service: not counted","Counts in Key Service gauge + sets Program chip"),IF(O132="No","Program: shown, no status chip","Sets Program status chip")),IF(IF(D132&lt;&gt;"",D132,IFERROR(INDEX('Dashboard Items'!$B$2:$B$495,MATCH(E132,'Dashboard Items'!$A$2:$A$495,0)),""))="Work System","Work System: shown, not counted","Check Level"))))</f>
        <v/>
      </c>
    </row>
    <row r="133" ht="15" customHeight="1" s="210">
      <c r="A133" s="350">
        <f>LEFT(B133, FIND("-", B133) - 1)</f>
        <v/>
      </c>
      <c r="B133" s="351" t="inlineStr">
        <is>
          <t>PR-QUALITYSURVEY</t>
        </is>
      </c>
      <c r="C133" s="352" t="inlineStr">
        <is>
          <t>Community survey: quality of experience results</t>
        </is>
      </c>
      <c r="D133" s="351" t="inlineStr">
        <is>
          <t>Key Service</t>
        </is>
      </c>
      <c r="E133" s="351" t="inlineStr">
        <is>
          <t>ks18</t>
        </is>
      </c>
      <c r="F133" s="353">
        <f>IF(E133="","",IFERROR(IF(INDEX('Dashboard Items'!$B$2:$B$495,MATCH(E133,'Dashboard Items'!$A$2:$A$495,0))="Objective","Objectives go in the next column",IF(OR(D133="",INDEX('Dashboard Items'!$B$2:$B$495,MATCH(E133,'Dashboard Items'!$A$2:$A$495,0))=D133),INDEX('Dashboard Items'!$C$2:$C$495,MATCH(E133,'Dashboard Items'!$A$2:$A$495,0)),"Level does not match ID")),"ID not found"))</f>
        <v/>
      </c>
      <c r="G133" s="354" t="n"/>
      <c r="H133" s="353">
        <f>IF(G133="","",IF(ISNUMBER(SEARCH(",",G133)),"Several items (the script lists them)",IFERROR(INDEX('Dashboard Items'!$B$2:$B$495,MATCH(G133,'Dashboard Items'!$A$2:$A$495,0))&amp;": "&amp;INDEX('Dashboard Items'!$C$2:$C$495,MATCH(G133,'Dashboard Items'!$A$2:$A$495,0)),"ID not found")))</f>
        <v/>
      </c>
      <c r="I133" s="351" t="n"/>
      <c r="J133" s="351" t="n"/>
      <c r="K133" s="351" t="n"/>
      <c r="L133" s="351" t="n"/>
      <c r="M133" s="351" t="n"/>
      <c r="N133" s="351" t="n"/>
      <c r="O133" s="351" t="n"/>
      <c r="P133" s="351" t="n"/>
      <c r="Q133" s="351" t="n"/>
      <c r="R133" s="351" t="n"/>
      <c r="S133" s="351" t="n"/>
      <c r="T133" s="351" t="n"/>
      <c r="U133" s="355">
        <f>IF(B133="","",IF(IF(D133&lt;&gt;"",D133,IFERROR(INDEX('Dashboard Items'!$B$2:$B$495,MATCH(E133,'Dashboard Items'!$A$2:$A$495,0)),""))="Key Service",IF(O133="No","Key Service: shown, not counted","Counts in Key Service gauge"),IF(IF(D133&lt;&gt;"",D133,IFERROR(INDEX('Dashboard Items'!$B$2:$B$495,MATCH(E133,'Dashboard Items'!$A$2:$A$495,0)),""))="Program",IF(ISNUMBER(SEARCH("ks",G133)),IF(O133="No","Program, also at Key Service: not counted","Counts in Key Service gauge + sets Program chip"),IF(O133="No","Program: shown, no status chip","Sets Program status chip")),IF(IF(D133&lt;&gt;"",D133,IFERROR(INDEX('Dashboard Items'!$B$2:$B$495,MATCH(E133,'Dashboard Items'!$A$2:$A$495,0)),""))="Work System","Work System: shown, not counted","Check Level"))))</f>
        <v/>
      </c>
    </row>
    <row r="134" ht="15" customHeight="1" s="210">
      <c r="A134" s="350">
        <f>LEFT(B134, FIND("-", B134) - 1)</f>
        <v/>
      </c>
      <c r="B134" s="351" t="inlineStr">
        <is>
          <t>PR-RESPERPARK</t>
        </is>
      </c>
      <c r="C134" s="352" t="inlineStr">
        <is>
          <t>Number of Residents per Park</t>
        </is>
      </c>
      <c r="D134" s="351" t="inlineStr">
        <is>
          <t>Program</t>
        </is>
      </c>
      <c r="E134" s="351" t="inlineStr">
        <is>
          <t>p88</t>
        </is>
      </c>
      <c r="F134" s="353">
        <f>IF(E134="","",IFERROR(IF(INDEX('Dashboard Items'!$B$2:$B$495,MATCH(E134,'Dashboard Items'!$A$2:$A$495,0))="Objective","Objectives go in the next column",IF(OR(D134="",INDEX('Dashboard Items'!$B$2:$B$495,MATCH(E134,'Dashboard Items'!$A$2:$A$495,0))=D134),INDEX('Dashboard Items'!$C$2:$C$495,MATCH(E134,'Dashboard Items'!$A$2:$A$495,0)),"Level does not match ID")),"ID not found"))</f>
        <v/>
      </c>
      <c r="G134" s="354" t="n"/>
      <c r="H134" s="353">
        <f>IF(G134="","",IF(ISNUMBER(SEARCH(",",G134)),"Several items (the script lists them)",IFERROR(INDEX('Dashboard Items'!$B$2:$B$495,MATCH(G134,'Dashboard Items'!$A$2:$A$495,0))&amp;": "&amp;INDEX('Dashboard Items'!$C$2:$C$495,MATCH(G134,'Dashboard Items'!$A$2:$A$495,0)),"ID not found")))</f>
        <v/>
      </c>
      <c r="I134" s="351" t="n"/>
      <c r="J134" s="351" t="n"/>
      <c r="K134" s="351" t="n"/>
      <c r="L134" s="351" t="n"/>
      <c r="M134" s="351" t="n"/>
      <c r="N134" s="351" t="n"/>
      <c r="O134" s="351" t="n"/>
      <c r="P134" s="351" t="n"/>
      <c r="Q134" s="351" t="n"/>
      <c r="R134" s="351" t="n"/>
      <c r="S134" s="351" t="n"/>
      <c r="T134" s="351" t="n"/>
      <c r="U134" s="355">
        <f>IF(B134="","",IF(IF(D134&lt;&gt;"",D134,IFERROR(INDEX('Dashboard Items'!$B$2:$B$495,MATCH(E134,'Dashboard Items'!$A$2:$A$495,0)),""))="Key Service",IF(O134="No","Key Service: shown, not counted","Counts in Key Service gauge"),IF(IF(D134&lt;&gt;"",D134,IFERROR(INDEX('Dashboard Items'!$B$2:$B$495,MATCH(E134,'Dashboard Items'!$A$2:$A$495,0)),""))="Program",IF(ISNUMBER(SEARCH("ks",G134)),IF(O134="No","Program, also at Key Service: not counted","Counts in Key Service gauge + sets Program chip"),IF(O134="No","Program: shown, no status chip","Sets Program status chip")),IF(IF(D134&lt;&gt;"",D134,IFERROR(INDEX('Dashboard Items'!$B$2:$B$495,MATCH(E134,'Dashboard Items'!$A$2:$A$495,0)),""))="Work System","Work System: shown, not counted","Check Level"))))</f>
        <v/>
      </c>
    </row>
    <row r="135" ht="15" customHeight="1" s="210">
      <c r="A135" s="350">
        <f>LEFT(B135, FIND("-", B135) - 1)</f>
        <v/>
      </c>
      <c r="B135" s="351" t="inlineStr">
        <is>
          <t>PR-PARKACRES1000</t>
        </is>
      </c>
      <c r="C135" s="352" t="inlineStr">
        <is>
          <t>Acres of Parkland per 1,000 Residents</t>
        </is>
      </c>
      <c r="D135" s="351" t="inlineStr">
        <is>
          <t>Program</t>
        </is>
      </c>
      <c r="E135" s="351" t="inlineStr">
        <is>
          <t>p88</t>
        </is>
      </c>
      <c r="F135" s="353">
        <f>IF(E135="","",IFERROR(IF(INDEX('Dashboard Items'!$B$2:$B$495,MATCH(E135,'Dashboard Items'!$A$2:$A$495,0))="Objective","Objectives go in the next column",IF(OR(D135="",INDEX('Dashboard Items'!$B$2:$B$495,MATCH(E135,'Dashboard Items'!$A$2:$A$495,0))=D135),INDEX('Dashboard Items'!$C$2:$C$495,MATCH(E135,'Dashboard Items'!$A$2:$A$495,0)),"Level does not match ID")),"ID not found"))</f>
        <v/>
      </c>
      <c r="G135" s="354" t="n"/>
      <c r="H135" s="353">
        <f>IF(G135="","",IF(ISNUMBER(SEARCH(",",G135)),"Several items (the script lists them)",IFERROR(INDEX('Dashboard Items'!$B$2:$B$495,MATCH(G135,'Dashboard Items'!$A$2:$A$495,0))&amp;": "&amp;INDEX('Dashboard Items'!$C$2:$C$495,MATCH(G135,'Dashboard Items'!$A$2:$A$495,0)),"ID not found")))</f>
        <v/>
      </c>
      <c r="I135" s="351" t="n"/>
      <c r="J135" s="351" t="n"/>
      <c r="K135" s="351" t="n"/>
      <c r="L135" s="351" t="n"/>
      <c r="M135" s="351" t="n"/>
      <c r="N135" s="351" t="n"/>
      <c r="O135" s="351" t="n"/>
      <c r="P135" s="351" t="n"/>
      <c r="Q135" s="351" t="n"/>
      <c r="R135" s="351" t="n"/>
      <c r="S135" s="351" t="n"/>
      <c r="T135" s="351" t="n"/>
      <c r="U135" s="355">
        <f>IF(B135="","",IF(IF(D135&lt;&gt;"",D135,IFERROR(INDEX('Dashboard Items'!$B$2:$B$495,MATCH(E135,'Dashboard Items'!$A$2:$A$495,0)),""))="Key Service",IF(O135="No","Key Service: shown, not counted","Counts in Key Service gauge"),IF(IF(D135&lt;&gt;"",D135,IFERROR(INDEX('Dashboard Items'!$B$2:$B$495,MATCH(E135,'Dashboard Items'!$A$2:$A$495,0)),""))="Program",IF(ISNUMBER(SEARCH("ks",G135)),IF(O135="No","Program, also at Key Service: not counted","Counts in Key Service gauge + sets Program chip"),IF(O135="No","Program: shown, no status chip","Sets Program status chip")),IF(IF(D135&lt;&gt;"",D135,IFERROR(INDEX('Dashboard Items'!$B$2:$B$495,MATCH(E135,'Dashboard Items'!$A$2:$A$495,0)),""))="Work System","Work System: shown, not counted","Check Level"))))</f>
        <v/>
      </c>
    </row>
    <row r="136" ht="15" customHeight="1" s="210">
      <c r="A136" s="350">
        <f>LEFT(B136, FIND("-", B136) - 1)</f>
        <v/>
      </c>
      <c r="B136" s="351" t="inlineStr">
        <is>
          <t>PR-CREMVSBURIAL</t>
        </is>
      </c>
      <c r="C136" s="352" t="inlineStr">
        <is>
          <t>Cremations vs full burial - point in time moving forward</t>
        </is>
      </c>
      <c r="D136" s="351" t="inlineStr">
        <is>
          <t>Program</t>
        </is>
      </c>
      <c r="E136" s="351" t="inlineStr">
        <is>
          <t>p116</t>
        </is>
      </c>
      <c r="F136" s="353">
        <f>IF(E136="","",IFERROR(IF(INDEX('Dashboard Items'!$B$2:$B$495,MATCH(E136,'Dashboard Items'!$A$2:$A$495,0))="Objective","Objectives go in the next column",IF(OR(D136="",INDEX('Dashboard Items'!$B$2:$B$495,MATCH(E136,'Dashboard Items'!$A$2:$A$495,0))=D136),INDEX('Dashboard Items'!$C$2:$C$495,MATCH(E136,'Dashboard Items'!$A$2:$A$495,0)),"Level does not match ID")),"ID not found"))</f>
        <v/>
      </c>
      <c r="G136" s="354" t="n"/>
      <c r="H136" s="353">
        <f>IF(G136="","",IF(ISNUMBER(SEARCH(",",G136)),"Several items (the script lists them)",IFERROR(INDEX('Dashboard Items'!$B$2:$B$495,MATCH(G136,'Dashboard Items'!$A$2:$A$495,0))&amp;": "&amp;INDEX('Dashboard Items'!$C$2:$C$495,MATCH(G136,'Dashboard Items'!$A$2:$A$495,0)),"ID not found")))</f>
        <v/>
      </c>
      <c r="I136" s="351" t="n"/>
      <c r="J136" s="351" t="n"/>
      <c r="K136" s="351" t="n"/>
      <c r="L136" s="351" t="n"/>
      <c r="M136" s="351" t="n"/>
      <c r="N136" s="351" t="n"/>
      <c r="O136" s="351" t="n"/>
      <c r="P136" s="351" t="n"/>
      <c r="Q136" s="351" t="n"/>
      <c r="R136" s="351" t="n"/>
      <c r="S136" s="351" t="n"/>
      <c r="T136" s="351" t="n"/>
      <c r="U136" s="355">
        <f>IF(B136="","",IF(IF(D136&lt;&gt;"",D136,IFERROR(INDEX('Dashboard Items'!$B$2:$B$495,MATCH(E136,'Dashboard Items'!$A$2:$A$495,0)),""))="Key Service",IF(O136="No","Key Service: shown, not counted","Counts in Key Service gauge"),IF(IF(D136&lt;&gt;"",D136,IFERROR(INDEX('Dashboard Items'!$B$2:$B$495,MATCH(E136,'Dashboard Items'!$A$2:$A$495,0)),""))="Program",IF(ISNUMBER(SEARCH("ks",G136)),IF(O136="No","Program, also at Key Service: not counted","Counts in Key Service gauge + sets Program chip"),IF(O136="No","Program: shown, no status chip","Sets Program status chip")),IF(IF(D136&lt;&gt;"",D136,IFERROR(INDEX('Dashboard Items'!$B$2:$B$495,MATCH(E136,'Dashboard Items'!$A$2:$A$495,0)),""))="Work System","Work System: shown, not counted","Check Level"))))</f>
        <v/>
      </c>
    </row>
    <row r="137" ht="15" customHeight="1" s="210">
      <c r="A137" s="350">
        <f>LEFT(B137, FIND("-", B137) - 1)</f>
        <v/>
      </c>
      <c r="B137" s="351" t="inlineStr">
        <is>
          <t>PR-CEMSALES</t>
        </is>
      </c>
      <c r="C137" s="352" t="inlineStr">
        <is>
          <t>Cemetery Plot + Grave Opening Sales</t>
        </is>
      </c>
      <c r="D137" s="351" t="inlineStr">
        <is>
          <t>Program</t>
        </is>
      </c>
      <c r="E137" s="351" t="inlineStr">
        <is>
          <t>p116</t>
        </is>
      </c>
      <c r="F137" s="353">
        <f>IF(E137="","",IFERROR(IF(INDEX('Dashboard Items'!$B$2:$B$495,MATCH(E137,'Dashboard Items'!$A$2:$A$495,0))="Objective","Objectives go in the next column",IF(OR(D137="",INDEX('Dashboard Items'!$B$2:$B$495,MATCH(E137,'Dashboard Items'!$A$2:$A$495,0))=D137),INDEX('Dashboard Items'!$C$2:$C$495,MATCH(E137,'Dashboard Items'!$A$2:$A$495,0)),"Level does not match ID")),"ID not found"))</f>
        <v/>
      </c>
      <c r="G137" s="354" t="n"/>
      <c r="H137" s="353">
        <f>IF(G137="","",IF(ISNUMBER(SEARCH(",",G137)),"Several items (the script lists them)",IFERROR(INDEX('Dashboard Items'!$B$2:$B$495,MATCH(G137,'Dashboard Items'!$A$2:$A$495,0))&amp;": "&amp;INDEX('Dashboard Items'!$C$2:$C$495,MATCH(G137,'Dashboard Items'!$A$2:$A$495,0)),"ID not found")))</f>
        <v/>
      </c>
      <c r="I137" s="351" t="n"/>
      <c r="J137" s="351" t="n"/>
      <c r="K137" s="351" t="n"/>
      <c r="L137" s="351" t="n"/>
      <c r="M137" s="351" t="n"/>
      <c r="N137" s="351" t="n"/>
      <c r="O137" s="351" t="n"/>
      <c r="P137" s="351" t="n"/>
      <c r="Q137" s="351" t="n"/>
      <c r="R137" s="351" t="n"/>
      <c r="S137" s="351" t="n"/>
      <c r="T137" s="351" t="n"/>
      <c r="U137" s="355">
        <f>IF(B137="","",IF(IF(D137&lt;&gt;"",D137,IFERROR(INDEX('Dashboard Items'!$B$2:$B$495,MATCH(E137,'Dashboard Items'!$A$2:$A$495,0)),""))="Key Service",IF(O137="No","Key Service: shown, not counted","Counts in Key Service gauge"),IF(IF(D137&lt;&gt;"",D137,IFERROR(INDEX('Dashboard Items'!$B$2:$B$495,MATCH(E137,'Dashboard Items'!$A$2:$A$495,0)),""))="Program",IF(ISNUMBER(SEARCH("ks",G137)),IF(O137="No","Program, also at Key Service: not counted","Counts in Key Service gauge + sets Program chip"),IF(O137="No","Program: shown, no status chip","Sets Program status chip")),IF(IF(D137&lt;&gt;"",D137,IFERROR(INDEX('Dashboard Items'!$B$2:$B$495,MATCH(E137,'Dashboard Items'!$A$2:$A$495,0)),""))="Work System","Work System: shown, not counted","Check Level"))))</f>
        <v/>
      </c>
    </row>
    <row r="138" ht="15" customHeight="1" s="210">
      <c r="A138" s="350">
        <f>LEFT(B138, FIND("-", B138) - 1)</f>
        <v/>
      </c>
      <c r="B138" s="351" t="inlineStr">
        <is>
          <t>PR-TRAILMILES</t>
        </is>
      </c>
      <c r="C138" s="352" t="inlineStr">
        <is>
          <t>Miles of Trails</t>
        </is>
      </c>
      <c r="D138" s="351" t="inlineStr">
        <is>
          <t>Program</t>
        </is>
      </c>
      <c r="E138" s="351" t="inlineStr">
        <is>
          <t>p89</t>
        </is>
      </c>
      <c r="F138" s="353">
        <f>IF(E138="","",IFERROR(IF(INDEX('Dashboard Items'!$B$2:$B$495,MATCH(E138,'Dashboard Items'!$A$2:$A$495,0))="Objective","Objectives go in the next column",IF(OR(D138="",INDEX('Dashboard Items'!$B$2:$B$495,MATCH(E138,'Dashboard Items'!$A$2:$A$495,0))=D138),INDEX('Dashboard Items'!$C$2:$C$495,MATCH(E138,'Dashboard Items'!$A$2:$A$495,0)),"Level does not match ID")),"ID not found"))</f>
        <v/>
      </c>
      <c r="G138" s="354" t="n"/>
      <c r="H138" s="353">
        <f>IF(G138="","",IF(ISNUMBER(SEARCH(",",G138)),"Several items (the script lists them)",IFERROR(INDEX('Dashboard Items'!$B$2:$B$495,MATCH(G138,'Dashboard Items'!$A$2:$A$495,0))&amp;": "&amp;INDEX('Dashboard Items'!$C$2:$C$495,MATCH(G138,'Dashboard Items'!$A$2:$A$495,0)),"ID not found")))</f>
        <v/>
      </c>
      <c r="I138" s="351" t="n"/>
      <c r="J138" s="351" t="n"/>
      <c r="K138" s="351" t="n"/>
      <c r="L138" s="351" t="n"/>
      <c r="M138" s="351" t="n"/>
      <c r="N138" s="351" t="n"/>
      <c r="O138" s="351" t="n"/>
      <c r="P138" s="351" t="n"/>
      <c r="Q138" s="351" t="n"/>
      <c r="R138" s="351" t="n"/>
      <c r="S138" s="351" t="n"/>
      <c r="T138" s="351" t="n"/>
      <c r="U138" s="355">
        <f>IF(B138="","",IF(IF(D138&lt;&gt;"",D138,IFERROR(INDEX('Dashboard Items'!$B$2:$B$495,MATCH(E138,'Dashboard Items'!$A$2:$A$495,0)),""))="Key Service",IF(O138="No","Key Service: shown, not counted","Counts in Key Service gauge"),IF(IF(D138&lt;&gt;"",D138,IFERROR(INDEX('Dashboard Items'!$B$2:$B$495,MATCH(E138,'Dashboard Items'!$A$2:$A$495,0)),""))="Program",IF(ISNUMBER(SEARCH("ks",G138)),IF(O138="No","Program, also at Key Service: not counted","Counts in Key Service gauge + sets Program chip"),IF(O138="No","Program: shown, no status chip","Sets Program status chip")),IF(IF(D138&lt;&gt;"",D138,IFERROR(INDEX('Dashboard Items'!$B$2:$B$495,MATCH(E138,'Dashboard Items'!$A$2:$A$495,0)),""))="Work System","Work System: shown, not counted","Check Level"))))</f>
        <v/>
      </c>
    </row>
    <row r="139" ht="15" customHeight="1" s="210">
      <c r="A139" s="350">
        <f>LEFT(B139, FIND("-", B139) - 1)</f>
        <v/>
      </c>
      <c r="B139" s="351" t="inlineStr">
        <is>
          <t>PR-LNHPASSRET</t>
        </is>
      </c>
      <c r="C139" s="352" t="inlineStr">
        <is>
          <t>Pass Retention - Lake Nighthorse</t>
        </is>
      </c>
      <c r="D139" s="351" t="inlineStr">
        <is>
          <t>Program</t>
        </is>
      </c>
      <c r="E139" s="351" t="inlineStr">
        <is>
          <t>p117</t>
        </is>
      </c>
      <c r="F139" s="353">
        <f>IF(E139="","",IFERROR(IF(INDEX('Dashboard Items'!$B$2:$B$495,MATCH(E139,'Dashboard Items'!$A$2:$A$495,0))="Objective","Objectives go in the next column",IF(OR(D139="",INDEX('Dashboard Items'!$B$2:$B$495,MATCH(E139,'Dashboard Items'!$A$2:$A$495,0))=D139),INDEX('Dashboard Items'!$C$2:$C$495,MATCH(E139,'Dashboard Items'!$A$2:$A$495,0)),"Level does not match ID")),"ID not found"))</f>
        <v/>
      </c>
      <c r="G139" s="354" t="n"/>
      <c r="H139" s="353">
        <f>IF(G139="","",IF(ISNUMBER(SEARCH(",",G139)),"Several items (the script lists them)",IFERROR(INDEX('Dashboard Items'!$B$2:$B$495,MATCH(G139,'Dashboard Items'!$A$2:$A$495,0))&amp;": "&amp;INDEX('Dashboard Items'!$C$2:$C$495,MATCH(G139,'Dashboard Items'!$A$2:$A$495,0)),"ID not found")))</f>
        <v/>
      </c>
      <c r="I139" s="351" t="inlineStr">
        <is>
          <t>percent</t>
        </is>
      </c>
      <c r="J139" s="351" t="n">
        <v>0</v>
      </c>
      <c r="K139" s="351" t="inlineStr">
        <is>
          <t>Yes</t>
        </is>
      </c>
      <c r="L139" s="351" t="inlineStr">
        <is>
          <t>Target</t>
        </is>
      </c>
      <c r="M139" s="351" t="n">
        <v>0</v>
      </c>
      <c r="N139" s="351" t="n">
        <v>0</v>
      </c>
      <c r="O139" s="351" t="inlineStr">
        <is>
          <t>Yes</t>
        </is>
      </c>
      <c r="P139" s="351" t="inlineStr">
        <is>
          <t>Every year</t>
        </is>
      </c>
      <c r="Q139" s="351" t="n"/>
      <c r="R139" s="351" t="inlineStr">
        <is>
          <t>Parks and Recreation KPI summary (2023–2026), supplied by P&amp;R</t>
        </is>
      </c>
      <c r="S139" s="351" t="inlineStr">
        <is>
          <t>Share of pass holders who renew their pass, by year.</t>
        </is>
      </c>
      <c r="T139" s="351" t="n"/>
      <c r="U139" s="355">
        <f>IF(B139="","",IF(IF(D139&lt;&gt;"",D139,IFERROR(INDEX('Dashboard Items'!$B$2:$B$495,MATCH(E139,'Dashboard Items'!$A$2:$A$495,0)),""))="Key Service",IF(O139="No","Key Service: shown, not counted","Counts in Key Service gauge"),IF(IF(D139&lt;&gt;"",D139,IFERROR(INDEX('Dashboard Items'!$B$2:$B$495,MATCH(E139,'Dashboard Items'!$A$2:$A$495,0)),""))="Program",IF(ISNUMBER(SEARCH("ks",G139)),IF(O139="No","Program, also at Key Service: not counted","Counts in Key Service gauge + sets Program chip"),IF(O139="No","Program: shown, no status chip","Sets Program status chip")),IF(IF(D139&lt;&gt;"",D139,IFERROR(INDEX('Dashboard Items'!$B$2:$B$495,MATCH(E139,'Dashboard Items'!$A$2:$A$495,0)),""))="Work System","Work System: shown, not counted","Check Level"))))</f>
        <v/>
      </c>
    </row>
    <row r="140" ht="15" customHeight="1" s="210">
      <c r="A140" s="350">
        <f>LEFT(B140, FIND("-", B140) - 1)</f>
        <v/>
      </c>
      <c r="B140" s="351" t="inlineStr">
        <is>
          <t>PR-LNHCAPACITY</t>
        </is>
      </c>
      <c r="C140" s="352" t="inlineStr">
        <is>
          <t>Program Capacity - Lake Nighthorse</t>
        </is>
      </c>
      <c r="D140" s="351" t="inlineStr">
        <is>
          <t>Program</t>
        </is>
      </c>
      <c r="E140" s="351" t="inlineStr">
        <is>
          <t>p117</t>
        </is>
      </c>
      <c r="F140" s="353">
        <f>IF(E140="","",IFERROR(IF(INDEX('Dashboard Items'!$B$2:$B$495,MATCH(E140,'Dashboard Items'!$A$2:$A$495,0))="Objective","Objectives go in the next column",IF(OR(D140="",INDEX('Dashboard Items'!$B$2:$B$495,MATCH(E140,'Dashboard Items'!$A$2:$A$495,0))=D140),INDEX('Dashboard Items'!$C$2:$C$495,MATCH(E140,'Dashboard Items'!$A$2:$A$495,0)),"Level does not match ID")),"ID not found"))</f>
        <v/>
      </c>
      <c r="G140" s="354" t="n"/>
      <c r="H140" s="353">
        <f>IF(G140="","",IF(ISNUMBER(SEARCH(",",G140)),"Several items (the script lists them)",IFERROR(INDEX('Dashboard Items'!$B$2:$B$495,MATCH(G140,'Dashboard Items'!$A$2:$A$495,0))&amp;": "&amp;INDEX('Dashboard Items'!$C$2:$C$495,MATCH(G140,'Dashboard Items'!$A$2:$A$495,0)),"ID not found")))</f>
        <v/>
      </c>
      <c r="I140" s="351" t="inlineStr">
        <is>
          <t>percent</t>
        </is>
      </c>
      <c r="J140" s="351" t="n">
        <v>0</v>
      </c>
      <c r="K140" s="351" t="inlineStr">
        <is>
          <t>Yes</t>
        </is>
      </c>
      <c r="L140" s="351" t="inlineStr">
        <is>
          <t>Target</t>
        </is>
      </c>
      <c r="M140" s="351" t="n">
        <v>0</v>
      </c>
      <c r="N140" s="351" t="n">
        <v>0</v>
      </c>
      <c r="O140" s="351" t="inlineStr">
        <is>
          <t>Yes</t>
        </is>
      </c>
      <c r="P140" s="351" t="inlineStr">
        <is>
          <t>Every year</t>
        </is>
      </c>
      <c r="Q140" s="351" t="n"/>
      <c r="R140" s="351" t="inlineStr">
        <is>
          <t>Parks and Recreation KPI summary (2023–2026), supplied by P&amp;R</t>
        </is>
      </c>
      <c r="S140" s="351" t="inlineStr">
        <is>
          <t>Share of available program spots filled, by year.</t>
        </is>
      </c>
      <c r="T140" s="351" t="n"/>
      <c r="U140" s="355">
        <f>IF(B140="","",IF(IF(D140&lt;&gt;"",D140,IFERROR(INDEX('Dashboard Items'!$B$2:$B$495,MATCH(E140,'Dashboard Items'!$A$2:$A$495,0)),""))="Key Service",IF(O140="No","Key Service: shown, not counted","Counts in Key Service gauge"),IF(IF(D140&lt;&gt;"",D140,IFERROR(INDEX('Dashboard Items'!$B$2:$B$495,MATCH(E140,'Dashboard Items'!$A$2:$A$495,0)),""))="Program",IF(ISNUMBER(SEARCH("ks",G140)),IF(O140="No","Program, also at Key Service: not counted","Counts in Key Service gauge + sets Program chip"),IF(O140="No","Program: shown, no status chip","Sets Program status chip")),IF(IF(D140&lt;&gt;"",D140,IFERROR(INDEX('Dashboard Items'!$B$2:$B$495,MATCH(E140,'Dashboard Items'!$A$2:$A$495,0)),""))="Work System","Work System: shown, not counted","Check Level"))))</f>
        <v/>
      </c>
    </row>
    <row r="141" ht="15" customHeight="1" s="210">
      <c r="A141" s="350">
        <f>LEFT(B141, FIND("-", B141) - 1)</f>
        <v/>
      </c>
      <c r="B141" s="351" t="inlineStr">
        <is>
          <t>PR-OSSURVEY</t>
        </is>
      </c>
      <c r="C141" s="352" t="inlineStr">
        <is>
          <t>Community survey: Parks results</t>
        </is>
      </c>
      <c r="D141" s="351" t="inlineStr">
        <is>
          <t>Program</t>
        </is>
      </c>
      <c r="E141" s="351" t="inlineStr">
        <is>
          <t>p118</t>
        </is>
      </c>
      <c r="F141" s="353">
        <f>IF(E141="","",IFERROR(IF(INDEX('Dashboard Items'!$B$2:$B$495,MATCH(E141,'Dashboard Items'!$A$2:$A$495,0))="Objective","Objectives go in the next column",IF(OR(D141="",INDEX('Dashboard Items'!$B$2:$B$495,MATCH(E141,'Dashboard Items'!$A$2:$A$495,0))=D141),INDEX('Dashboard Items'!$C$2:$C$495,MATCH(E141,'Dashboard Items'!$A$2:$A$495,0)),"Level does not match ID")),"ID not found"))</f>
        <v/>
      </c>
      <c r="G141" s="354" t="n"/>
      <c r="H141" s="353">
        <f>IF(G141="","",IF(ISNUMBER(SEARCH(",",G141)),"Several items (the script lists them)",IFERROR(INDEX('Dashboard Items'!$B$2:$B$495,MATCH(G141,'Dashboard Items'!$A$2:$A$495,0))&amp;": "&amp;INDEX('Dashboard Items'!$C$2:$C$495,MATCH(G141,'Dashboard Items'!$A$2:$A$495,0)),"ID not found")))</f>
        <v/>
      </c>
      <c r="I141" s="351" t="n"/>
      <c r="J141" s="351" t="n"/>
      <c r="K141" s="351" t="n"/>
      <c r="L141" s="351" t="n"/>
      <c r="M141" s="351" t="n"/>
      <c r="N141" s="351" t="n"/>
      <c r="O141" s="351" t="n"/>
      <c r="P141" s="351" t="n"/>
      <c r="Q141" s="351" t="n"/>
      <c r="R141" s="351" t="n"/>
      <c r="S141" s="351" t="n"/>
      <c r="T141" s="351" t="n"/>
      <c r="U141" s="355">
        <f>IF(B141="","",IF(IF(D141&lt;&gt;"",D141,IFERROR(INDEX('Dashboard Items'!$B$2:$B$495,MATCH(E141,'Dashboard Items'!$A$2:$A$495,0)),""))="Key Service",IF(O141="No","Key Service: shown, not counted","Counts in Key Service gauge"),IF(IF(D141&lt;&gt;"",D141,IFERROR(INDEX('Dashboard Items'!$B$2:$B$495,MATCH(E141,'Dashboard Items'!$A$2:$A$495,0)),""))="Program",IF(ISNUMBER(SEARCH("ks",G141)),IF(O141="No","Program, also at Key Service: not counted","Counts in Key Service gauge + sets Program chip"),IF(O141="No","Program: shown, no status chip","Sets Program status chip")),IF(IF(D141&lt;&gt;"",D141,IFERROR(INDEX('Dashboard Items'!$B$2:$B$495,MATCH(E141,'Dashboard Items'!$A$2:$A$495,0)),""))="Work System","Work System: shown, not counted","Check Level"))))</f>
        <v/>
      </c>
    </row>
    <row r="142" ht="15" customHeight="1" s="210">
      <c r="A142" s="350">
        <f>LEFT(B142, FIND("-", B142) - 1)</f>
        <v/>
      </c>
      <c r="B142" s="351" t="inlineStr">
        <is>
          <t>PR-OSFTEBUDGET</t>
        </is>
      </c>
      <c r="C142" s="352" t="inlineStr">
        <is>
          <t>FTEs per 1,000 acres of open space + ops/capital budget per 1,000 acres of open space</t>
        </is>
      </c>
      <c r="D142" s="351" t="inlineStr">
        <is>
          <t>Program</t>
        </is>
      </c>
      <c r="E142" s="351" t="inlineStr">
        <is>
          <t>p118</t>
        </is>
      </c>
      <c r="F142" s="353">
        <f>IF(E142="","",IFERROR(IF(INDEX('Dashboard Items'!$B$2:$B$495,MATCH(E142,'Dashboard Items'!$A$2:$A$495,0))="Objective","Objectives go in the next column",IF(OR(D142="",INDEX('Dashboard Items'!$B$2:$B$495,MATCH(E142,'Dashboard Items'!$A$2:$A$495,0))=D142),INDEX('Dashboard Items'!$C$2:$C$495,MATCH(E142,'Dashboard Items'!$A$2:$A$495,0)),"Level does not match ID")),"ID not found"))</f>
        <v/>
      </c>
      <c r="G142" s="354" t="n"/>
      <c r="H142" s="353">
        <f>IF(G142="","",IF(ISNUMBER(SEARCH(",",G142)),"Several items (the script lists them)",IFERROR(INDEX('Dashboard Items'!$B$2:$B$495,MATCH(G142,'Dashboard Items'!$A$2:$A$495,0))&amp;": "&amp;INDEX('Dashboard Items'!$C$2:$C$495,MATCH(G142,'Dashboard Items'!$A$2:$A$495,0)),"ID not found")))</f>
        <v/>
      </c>
      <c r="I142" s="351" t="n"/>
      <c r="J142" s="351" t="n"/>
      <c r="K142" s="351" t="n"/>
      <c r="L142" s="351" t="n"/>
      <c r="M142" s="351" t="n"/>
      <c r="N142" s="351" t="n"/>
      <c r="O142" s="351" t="n"/>
      <c r="P142" s="351" t="n"/>
      <c r="Q142" s="351" t="n"/>
      <c r="R142" s="351" t="n"/>
      <c r="S142" s="351" t="n"/>
      <c r="T142" s="351" t="n"/>
      <c r="U142" s="355">
        <f>IF(B142="","",IF(IF(D142&lt;&gt;"",D142,IFERROR(INDEX('Dashboard Items'!$B$2:$B$495,MATCH(E142,'Dashboard Items'!$A$2:$A$495,0)),""))="Key Service",IF(O142="No","Key Service: shown, not counted","Counts in Key Service gauge"),IF(IF(D142&lt;&gt;"",D142,IFERROR(INDEX('Dashboard Items'!$B$2:$B$495,MATCH(E142,'Dashboard Items'!$A$2:$A$495,0)),""))="Program",IF(ISNUMBER(SEARCH("ks",G142)),IF(O142="No","Program, also at Key Service: not counted","Counts in Key Service gauge + sets Program chip"),IF(O142="No","Program: shown, no status chip","Sets Program status chip")),IF(IF(D142&lt;&gt;"",D142,IFERROR(INDEX('Dashboard Items'!$B$2:$B$495,MATCH(E142,'Dashboard Items'!$A$2:$A$495,0)),""))="Work System","Work System: shown, not counted","Check Level"))))</f>
        <v/>
      </c>
    </row>
    <row r="143" ht="15" customHeight="1" s="210">
      <c r="A143" s="350">
        <f>LEFT(B143, FIND("-", B143) - 1)</f>
        <v/>
      </c>
      <c r="B143" s="351" t="inlineStr">
        <is>
          <t>PR-TREECANOPY</t>
        </is>
      </c>
      <c r="C143" s="352" t="inlineStr">
        <is>
          <t>Tree count + canopy coverage</t>
        </is>
      </c>
      <c r="D143" s="351" t="inlineStr">
        <is>
          <t>Program</t>
        </is>
      </c>
      <c r="E143" s="351" t="inlineStr">
        <is>
          <t>p125</t>
        </is>
      </c>
      <c r="F143" s="353">
        <f>IF(E143="","",IFERROR(IF(INDEX('Dashboard Items'!$B$2:$B$495,MATCH(E143,'Dashboard Items'!$A$2:$A$495,0))="Objective","Objectives go in the next column",IF(OR(D143="",INDEX('Dashboard Items'!$B$2:$B$495,MATCH(E143,'Dashboard Items'!$A$2:$A$495,0))=D143),INDEX('Dashboard Items'!$C$2:$C$495,MATCH(E143,'Dashboard Items'!$A$2:$A$495,0)),"Level does not match ID")),"ID not found"))</f>
        <v/>
      </c>
      <c r="G143" s="354" t="n"/>
      <c r="H143" s="353">
        <f>IF(G143="","",IF(ISNUMBER(SEARCH(",",G143)),"Several items (the script lists them)",IFERROR(INDEX('Dashboard Items'!$B$2:$B$495,MATCH(G143,'Dashboard Items'!$A$2:$A$495,0))&amp;": "&amp;INDEX('Dashboard Items'!$C$2:$C$495,MATCH(G143,'Dashboard Items'!$A$2:$A$495,0)),"ID not found")))</f>
        <v/>
      </c>
      <c r="I143" s="351" t="n"/>
      <c r="J143" s="351" t="n"/>
      <c r="K143" s="351" t="n"/>
      <c r="L143" s="351" t="n"/>
      <c r="M143" s="351" t="n"/>
      <c r="N143" s="351" t="n"/>
      <c r="O143" s="351" t="n"/>
      <c r="P143" s="351" t="n"/>
      <c r="Q143" s="351" t="n"/>
      <c r="R143" s="351" t="n"/>
      <c r="S143" s="351" t="n"/>
      <c r="T143" s="351" t="n"/>
      <c r="U143" s="355">
        <f>IF(B143="","",IF(IF(D143&lt;&gt;"",D143,IFERROR(INDEX('Dashboard Items'!$B$2:$B$495,MATCH(E143,'Dashboard Items'!$A$2:$A$495,0)),""))="Key Service",IF(O143="No","Key Service: shown, not counted","Counts in Key Service gauge"),IF(IF(D143&lt;&gt;"",D143,IFERROR(INDEX('Dashboard Items'!$B$2:$B$495,MATCH(E143,'Dashboard Items'!$A$2:$A$495,0)),""))="Program",IF(ISNUMBER(SEARCH("ks",G143)),IF(O143="No","Program, also at Key Service: not counted","Counts in Key Service gauge + sets Program chip"),IF(O143="No","Program: shown, no status chip","Sets Program status chip")),IF(IF(D143&lt;&gt;"",D143,IFERROR(INDEX('Dashboard Items'!$B$2:$B$495,MATCH(E143,'Dashboard Items'!$A$2:$A$495,0)),""))="Work System","Work System: shown, not counted","Check Level"))))</f>
        <v/>
      </c>
    </row>
    <row r="144" ht="15" customHeight="1" s="210">
      <c r="A144" s="350">
        <f>LEFT(B144, FIND("-", B144) - 1)</f>
        <v/>
      </c>
      <c r="B144" s="351" t="inlineStr">
        <is>
          <t>PR-TREERISK</t>
        </is>
      </c>
      <c r="C144" s="352" t="inlineStr">
        <is>
          <t>Percentage of trees that require pruning that are in the high risk category</t>
        </is>
      </c>
      <c r="D144" s="351" t="inlineStr">
        <is>
          <t>Program</t>
        </is>
      </c>
      <c r="E144" s="351" t="inlineStr">
        <is>
          <t>p125</t>
        </is>
      </c>
      <c r="F144" s="353">
        <f>IF(E144="","",IFERROR(IF(INDEX('Dashboard Items'!$B$2:$B$495,MATCH(E144,'Dashboard Items'!$A$2:$A$495,0))="Objective","Objectives go in the next column",IF(OR(D144="",INDEX('Dashboard Items'!$B$2:$B$495,MATCH(E144,'Dashboard Items'!$A$2:$A$495,0))=D144),INDEX('Dashboard Items'!$C$2:$C$495,MATCH(E144,'Dashboard Items'!$A$2:$A$495,0)),"Level does not match ID")),"ID not found"))</f>
        <v/>
      </c>
      <c r="G144" s="354" t="n"/>
      <c r="H144" s="353">
        <f>IF(G144="","",IF(ISNUMBER(SEARCH(",",G144)),"Several items (the script lists them)",IFERROR(INDEX('Dashboard Items'!$B$2:$B$495,MATCH(G144,'Dashboard Items'!$A$2:$A$495,0))&amp;": "&amp;INDEX('Dashboard Items'!$C$2:$C$495,MATCH(G144,'Dashboard Items'!$A$2:$A$495,0)),"ID not found")))</f>
        <v/>
      </c>
      <c r="I144" s="351" t="n"/>
      <c r="J144" s="351" t="n"/>
      <c r="K144" s="351" t="n"/>
      <c r="L144" s="351" t="n"/>
      <c r="M144" s="351" t="n"/>
      <c r="N144" s="351" t="n"/>
      <c r="O144" s="351" t="n"/>
      <c r="P144" s="351" t="n"/>
      <c r="Q144" s="351" t="n"/>
      <c r="R144" s="351" t="n"/>
      <c r="S144" s="351" t="n"/>
      <c r="T144" s="351" t="n"/>
      <c r="U144" s="355">
        <f>IF(B144="","",IF(IF(D144&lt;&gt;"",D144,IFERROR(INDEX('Dashboard Items'!$B$2:$B$495,MATCH(E144,'Dashboard Items'!$A$2:$A$495,0)),""))="Key Service",IF(O144="No","Key Service: shown, not counted","Counts in Key Service gauge"),IF(IF(D144&lt;&gt;"",D144,IFERROR(INDEX('Dashboard Items'!$B$2:$B$495,MATCH(E144,'Dashboard Items'!$A$2:$A$495,0)),""))="Program",IF(ISNUMBER(SEARCH("ks",G144)),IF(O144="No","Program, also at Key Service: not counted","Counts in Key Service gauge + sets Program chip"),IF(O144="No","Program: shown, no status chip","Sets Program status chip")),IF(IF(D144&lt;&gt;"",D144,IFERROR(INDEX('Dashboard Items'!$B$2:$B$495,MATCH(E144,'Dashboard Items'!$A$2:$A$495,0)),""))="Work System","Work System: shown, not counted","Check Level"))))</f>
        <v/>
      </c>
    </row>
    <row r="145" ht="15" customHeight="1" s="210">
      <c r="A145" s="350">
        <f>LEFT(B145, FIND("-", B145) - 1)</f>
        <v/>
      </c>
      <c r="B145" s="351" t="inlineStr">
        <is>
          <t>REC-PASSRETTOTAL</t>
        </is>
      </c>
      <c r="C145" s="352" t="inlineStr">
        <is>
          <t>Total pass retention</t>
        </is>
      </c>
      <c r="D145" s="351" t="inlineStr">
        <is>
          <t>Key Service</t>
        </is>
      </c>
      <c r="E145" s="351" t="inlineStr">
        <is>
          <t>ks20</t>
        </is>
      </c>
      <c r="F145" s="353">
        <f>IF(E145="","",IFERROR(IF(INDEX('Dashboard Items'!$B$2:$B$495,MATCH(E145,'Dashboard Items'!$A$2:$A$495,0))="Objective","Objectives go in the next column",IF(OR(D145="",INDEX('Dashboard Items'!$B$2:$B$495,MATCH(E145,'Dashboard Items'!$A$2:$A$495,0))=D145),INDEX('Dashboard Items'!$C$2:$C$495,MATCH(E145,'Dashboard Items'!$A$2:$A$495,0)),"Level does not match ID")),"ID not found"))</f>
        <v/>
      </c>
      <c r="G145" s="354" t="n"/>
      <c r="H145" s="353">
        <f>IF(G145="","",IF(ISNUMBER(SEARCH(",",G145)),"Several items (the script lists them)",IFERROR(INDEX('Dashboard Items'!$B$2:$B$495,MATCH(G145,'Dashboard Items'!$A$2:$A$495,0))&amp;": "&amp;INDEX('Dashboard Items'!$C$2:$C$495,MATCH(G145,'Dashboard Items'!$A$2:$A$495,0)),"ID not found")))</f>
        <v/>
      </c>
      <c r="I145" s="351" t="n"/>
      <c r="J145" s="351" t="n"/>
      <c r="K145" s="351" t="n"/>
      <c r="L145" s="351" t="n"/>
      <c r="M145" s="351" t="n"/>
      <c r="N145" s="351" t="n"/>
      <c r="O145" s="351" t="n"/>
      <c r="P145" s="351" t="n"/>
      <c r="Q145" s="351" t="n"/>
      <c r="R145" s="351" t="n"/>
      <c r="S145" s="351" t="n"/>
      <c r="T145" s="351" t="n"/>
      <c r="U145" s="355">
        <f>IF(B145="","",IF(IF(D145&lt;&gt;"",D145,IFERROR(INDEX('Dashboard Items'!$B$2:$B$495,MATCH(E145,'Dashboard Items'!$A$2:$A$495,0)),""))="Key Service",IF(O145="No","Key Service: shown, not counted","Counts in Key Service gauge"),IF(IF(D145&lt;&gt;"",D145,IFERROR(INDEX('Dashboard Items'!$B$2:$B$495,MATCH(E145,'Dashboard Items'!$A$2:$A$495,0)),""))="Program",IF(ISNUMBER(SEARCH("ks",G145)),IF(O145="No","Program, also at Key Service: not counted","Counts in Key Service gauge + sets Program chip"),IF(O145="No","Program: shown, no status chip","Sets Program status chip")),IF(IF(D145&lt;&gt;"",D145,IFERROR(INDEX('Dashboard Items'!$B$2:$B$495,MATCH(E145,'Dashboard Items'!$A$2:$A$495,0)),""))="Work System","Work System: shown, not counted","Check Level"))))</f>
        <v/>
      </c>
    </row>
    <row r="146" ht="15" customHeight="1" s="210">
      <c r="A146" s="350">
        <f>LEFT(B146, FIND("-", B146) - 1)</f>
        <v/>
      </c>
      <c r="B146" s="351" t="inlineStr">
        <is>
          <t>REC-CAPTOTAL</t>
        </is>
      </c>
      <c r="C146" s="352" t="inlineStr">
        <is>
          <t>Total program capacity</t>
        </is>
      </c>
      <c r="D146" s="351" t="inlineStr">
        <is>
          <t>Key Service</t>
        </is>
      </c>
      <c r="E146" s="351" t="inlineStr">
        <is>
          <t>ks20</t>
        </is>
      </c>
      <c r="F146" s="353">
        <f>IF(E146="","",IFERROR(IF(INDEX('Dashboard Items'!$B$2:$B$495,MATCH(E146,'Dashboard Items'!$A$2:$A$495,0))="Objective","Objectives go in the next column",IF(OR(D146="",INDEX('Dashboard Items'!$B$2:$B$495,MATCH(E146,'Dashboard Items'!$A$2:$A$495,0))=D146),INDEX('Dashboard Items'!$C$2:$C$495,MATCH(E146,'Dashboard Items'!$A$2:$A$495,0)),"Level does not match ID")),"ID not found"))</f>
        <v/>
      </c>
      <c r="G146" s="354" t="n"/>
      <c r="H146" s="353">
        <f>IF(G146="","",IF(ISNUMBER(SEARCH(",",G146)),"Several items (the script lists them)",IFERROR(INDEX('Dashboard Items'!$B$2:$B$495,MATCH(G146,'Dashboard Items'!$A$2:$A$495,0))&amp;": "&amp;INDEX('Dashboard Items'!$C$2:$C$495,MATCH(G146,'Dashboard Items'!$A$2:$A$495,0)),"ID not found")))</f>
        <v/>
      </c>
      <c r="I146" s="351" t="n"/>
      <c r="J146" s="351" t="n"/>
      <c r="K146" s="351" t="n"/>
      <c r="L146" s="351" t="n"/>
      <c r="M146" s="351" t="n"/>
      <c r="N146" s="351" t="n"/>
      <c r="O146" s="351" t="n"/>
      <c r="P146" s="351" t="n"/>
      <c r="Q146" s="351" t="n"/>
      <c r="R146" s="351" t="n"/>
      <c r="S146" s="351" t="n"/>
      <c r="T146" s="351" t="n"/>
      <c r="U146" s="355">
        <f>IF(B146="","",IF(IF(D146&lt;&gt;"",D146,IFERROR(INDEX('Dashboard Items'!$B$2:$B$495,MATCH(E146,'Dashboard Items'!$A$2:$A$495,0)),""))="Key Service",IF(O146="No","Key Service: shown, not counted","Counts in Key Service gauge"),IF(IF(D146&lt;&gt;"",D146,IFERROR(INDEX('Dashboard Items'!$B$2:$B$495,MATCH(E146,'Dashboard Items'!$A$2:$A$495,0)),""))="Program",IF(ISNUMBER(SEARCH("ks",G146)),IF(O146="No","Program, also at Key Service: not counted","Counts in Key Service gauge + sets Program chip"),IF(O146="No","Program: shown, no status chip","Sets Program status chip")),IF(IF(D146&lt;&gt;"",D146,IFERROR(INDEX('Dashboard Items'!$B$2:$B$495,MATCH(E146,'Dashboard Items'!$A$2:$A$495,0)),""))="Work System","Work System: shown, not counted","Check Level"))))</f>
        <v/>
      </c>
    </row>
    <row r="147" ht="15" customHeight="1" s="210">
      <c r="A147" s="350">
        <f>LEFT(B147, FIND("-", B147) - 1)</f>
        <v/>
      </c>
      <c r="B147" s="351" t="inlineStr">
        <is>
          <t>REC-SURVEY</t>
        </is>
      </c>
      <c r="C147" s="352" t="inlineStr">
        <is>
          <t>Community survey results (with service population or another metric)</t>
        </is>
      </c>
      <c r="D147" s="351" t="inlineStr">
        <is>
          <t>Key Service</t>
        </is>
      </c>
      <c r="E147" s="351" t="inlineStr">
        <is>
          <t>ks20</t>
        </is>
      </c>
      <c r="F147" s="353">
        <f>IF(E147="","",IFERROR(IF(INDEX('Dashboard Items'!$B$2:$B$495,MATCH(E147,'Dashboard Items'!$A$2:$A$495,0))="Objective","Objectives go in the next column",IF(OR(D147="",INDEX('Dashboard Items'!$B$2:$B$495,MATCH(E147,'Dashboard Items'!$A$2:$A$495,0))=D147),INDEX('Dashboard Items'!$C$2:$C$495,MATCH(E147,'Dashboard Items'!$A$2:$A$495,0)),"Level does not match ID")),"ID not found"))</f>
        <v/>
      </c>
      <c r="G147" s="354" t="n"/>
      <c r="H147" s="353">
        <f>IF(G147="","",IF(ISNUMBER(SEARCH(",",G147)),"Several items (the script lists them)",IFERROR(INDEX('Dashboard Items'!$B$2:$B$495,MATCH(G147,'Dashboard Items'!$A$2:$A$495,0))&amp;": "&amp;INDEX('Dashboard Items'!$C$2:$C$495,MATCH(G147,'Dashboard Items'!$A$2:$A$495,0)),"ID not found")))</f>
        <v/>
      </c>
      <c r="I147" s="351" t="n"/>
      <c r="J147" s="351" t="n"/>
      <c r="K147" s="351" t="n"/>
      <c r="L147" s="351" t="n"/>
      <c r="M147" s="351" t="n"/>
      <c r="N147" s="351" t="n"/>
      <c r="O147" s="351" t="n"/>
      <c r="P147" s="351" t="n"/>
      <c r="Q147" s="351" t="n"/>
      <c r="R147" s="351" t="n"/>
      <c r="S147" s="351" t="n"/>
      <c r="T147" s="351" t="n"/>
      <c r="U147" s="355">
        <f>IF(B147="","",IF(IF(D147&lt;&gt;"",D147,IFERROR(INDEX('Dashboard Items'!$B$2:$B$495,MATCH(E147,'Dashboard Items'!$A$2:$A$495,0)),""))="Key Service",IF(O147="No","Key Service: shown, not counted","Counts in Key Service gauge"),IF(IF(D147&lt;&gt;"",D147,IFERROR(INDEX('Dashboard Items'!$B$2:$B$495,MATCH(E147,'Dashboard Items'!$A$2:$A$495,0)),""))="Program",IF(ISNUMBER(SEARCH("ks",G147)),IF(O147="No","Program, also at Key Service: not counted","Counts in Key Service gauge + sets Program chip"),IF(O147="No","Program: shown, no status chip","Sets Program status chip")),IF(IF(D147&lt;&gt;"",D147,IFERROR(INDEX('Dashboard Items'!$B$2:$B$495,MATCH(E147,'Dashboard Items'!$A$2:$A$495,0)),""))="Work System","Work System: shown, not counted","Check Level"))))</f>
        <v/>
      </c>
    </row>
    <row r="148" ht="15" customHeight="1" s="210">
      <c r="A148" s="350">
        <f>LEFT(B148, FIND("-", B148) - 1)</f>
        <v/>
      </c>
      <c r="B148" s="351" t="inlineStr">
        <is>
          <t>REC-SOCIALENG</t>
        </is>
      </c>
      <c r="C148" s="352" t="inlineStr">
        <is>
          <t>Social media engagement rate - P&amp;R channels only</t>
        </is>
      </c>
      <c r="D148" s="351" t="inlineStr">
        <is>
          <t>Key Service</t>
        </is>
      </c>
      <c r="E148" s="351" t="inlineStr">
        <is>
          <t>ks20</t>
        </is>
      </c>
      <c r="F148" s="353">
        <f>IF(E148="","",IFERROR(IF(INDEX('Dashboard Items'!$B$2:$B$495,MATCH(E148,'Dashboard Items'!$A$2:$A$495,0))="Objective","Objectives go in the next column",IF(OR(D148="",INDEX('Dashboard Items'!$B$2:$B$495,MATCH(E148,'Dashboard Items'!$A$2:$A$495,0))=D148),INDEX('Dashboard Items'!$C$2:$C$495,MATCH(E148,'Dashboard Items'!$A$2:$A$495,0)),"Level does not match ID")),"ID not found"))</f>
        <v/>
      </c>
      <c r="G148" s="354" t="n"/>
      <c r="H148" s="353">
        <f>IF(G148="","",IF(ISNUMBER(SEARCH(",",G148)),"Several items (the script lists them)",IFERROR(INDEX('Dashboard Items'!$B$2:$B$495,MATCH(G148,'Dashboard Items'!$A$2:$A$495,0))&amp;": "&amp;INDEX('Dashboard Items'!$C$2:$C$495,MATCH(G148,'Dashboard Items'!$A$2:$A$495,0)),"ID not found")))</f>
        <v/>
      </c>
      <c r="I148" s="351" t="n"/>
      <c r="J148" s="351" t="n"/>
      <c r="K148" s="351" t="n"/>
      <c r="L148" s="351" t="n"/>
      <c r="M148" s="351" t="n"/>
      <c r="N148" s="351" t="n"/>
      <c r="O148" s="351" t="n"/>
      <c r="P148" s="351" t="n"/>
      <c r="Q148" s="351" t="n"/>
      <c r="R148" s="351" t="n"/>
      <c r="S148" s="351" t="n"/>
      <c r="T148" s="351" t="n"/>
      <c r="U148" s="355">
        <f>IF(B148="","",IF(IF(D148&lt;&gt;"",D148,IFERROR(INDEX('Dashboard Items'!$B$2:$B$495,MATCH(E148,'Dashboard Items'!$A$2:$A$495,0)),""))="Key Service",IF(O148="No","Key Service: shown, not counted","Counts in Key Service gauge"),IF(IF(D148&lt;&gt;"",D148,IFERROR(INDEX('Dashboard Items'!$B$2:$B$495,MATCH(E148,'Dashboard Items'!$A$2:$A$495,0)),""))="Program",IF(ISNUMBER(SEARCH("ks",G148)),IF(O148="No","Program, also at Key Service: not counted","Counts in Key Service gauge + sets Program chip"),IF(O148="No","Program: shown, no status chip","Sets Program status chip")),IF(IF(D148&lt;&gt;"",D148,IFERROR(INDEX('Dashboard Items'!$B$2:$B$495,MATCH(E148,'Dashboard Items'!$A$2:$A$495,0)),""))="Work System","Work System: shown, not counted","Check Level"))))</f>
        <v/>
      </c>
    </row>
    <row r="149" ht="15" customHeight="1" s="210">
      <c r="A149" s="350">
        <f>LEFT(B149, FIND("-", B149) - 1)</f>
        <v/>
      </c>
      <c r="B149" s="351" t="inlineStr">
        <is>
          <t>REC-PASSRETRC</t>
        </is>
      </c>
      <c r="C149" s="352" t="inlineStr">
        <is>
          <t>Pass Retention - Rec Center</t>
        </is>
      </c>
      <c r="D149" s="351" t="inlineStr">
        <is>
          <t>Program</t>
        </is>
      </c>
      <c r="E149" s="351" t="inlineStr">
        <is>
          <t>p92</t>
        </is>
      </c>
      <c r="F149" s="353">
        <f>IF(E149="","",IFERROR(IF(INDEX('Dashboard Items'!$B$2:$B$495,MATCH(E149,'Dashboard Items'!$A$2:$A$495,0))="Objective","Objectives go in the next column",IF(OR(D149="",INDEX('Dashboard Items'!$B$2:$B$495,MATCH(E149,'Dashboard Items'!$A$2:$A$495,0))=D149),INDEX('Dashboard Items'!$C$2:$C$495,MATCH(E149,'Dashboard Items'!$A$2:$A$495,0)),"Level does not match ID")),"ID not found"))</f>
        <v/>
      </c>
      <c r="G149" s="354" t="n"/>
      <c r="H149" s="353">
        <f>IF(G149="","",IF(ISNUMBER(SEARCH(",",G149)),"Several items (the script lists them)",IFERROR(INDEX('Dashboard Items'!$B$2:$B$495,MATCH(G149,'Dashboard Items'!$A$2:$A$495,0))&amp;": "&amp;INDEX('Dashboard Items'!$C$2:$C$495,MATCH(G149,'Dashboard Items'!$A$2:$A$495,0)),"ID not found")))</f>
        <v/>
      </c>
      <c r="I149" s="351" t="inlineStr">
        <is>
          <t>percent</t>
        </is>
      </c>
      <c r="J149" s="351" t="n">
        <v>0</v>
      </c>
      <c r="K149" s="351" t="inlineStr">
        <is>
          <t>Yes</t>
        </is>
      </c>
      <c r="L149" s="351" t="inlineStr">
        <is>
          <t>Target</t>
        </is>
      </c>
      <c r="M149" s="351" t="n">
        <v>0</v>
      </c>
      <c r="N149" s="351" t="n">
        <v>0</v>
      </c>
      <c r="O149" s="351" t="inlineStr">
        <is>
          <t>Yes</t>
        </is>
      </c>
      <c r="P149" s="351" t="inlineStr">
        <is>
          <t>Every year</t>
        </is>
      </c>
      <c r="Q149" s="351" t="n"/>
      <c r="R149" s="351" t="inlineStr">
        <is>
          <t>Parks and Recreation KPI summary (2023–2026), supplied by P&amp;R</t>
        </is>
      </c>
      <c r="S149" s="351" t="inlineStr">
        <is>
          <t>Share of pass holders who renew their pass, by year.</t>
        </is>
      </c>
      <c r="T149" s="351" t="n"/>
      <c r="U149" s="355">
        <f>IF(B149="","",IF(IF(D149&lt;&gt;"",D149,IFERROR(INDEX('Dashboard Items'!$B$2:$B$495,MATCH(E149,'Dashboard Items'!$A$2:$A$495,0)),""))="Key Service",IF(O149="No","Key Service: shown, not counted","Counts in Key Service gauge"),IF(IF(D149&lt;&gt;"",D149,IFERROR(INDEX('Dashboard Items'!$B$2:$B$495,MATCH(E149,'Dashboard Items'!$A$2:$A$495,0)),""))="Program",IF(ISNUMBER(SEARCH("ks",G149)),IF(O149="No","Program, also at Key Service: not counted","Counts in Key Service gauge + sets Program chip"),IF(O149="No","Program: shown, no status chip","Sets Program status chip")),IF(IF(D149&lt;&gt;"",D149,IFERROR(INDEX('Dashboard Items'!$B$2:$B$495,MATCH(E149,'Dashboard Items'!$A$2:$A$495,0)),""))="Work System","Work System: shown, not counted","Check Level"))))</f>
        <v/>
      </c>
    </row>
    <row r="150" ht="15" customHeight="1" s="210">
      <c r="A150" s="350">
        <f>LEFT(B150, FIND("-", B150) - 1)</f>
        <v/>
      </c>
      <c r="B150" s="351" t="inlineStr">
        <is>
          <t>REC-CAPRC</t>
        </is>
      </c>
      <c r="C150" s="352" t="inlineStr">
        <is>
          <t>Program Capacity - Rec Center</t>
        </is>
      </c>
      <c r="D150" s="351" t="inlineStr">
        <is>
          <t>Program</t>
        </is>
      </c>
      <c r="E150" s="351" t="inlineStr">
        <is>
          <t>p92</t>
        </is>
      </c>
      <c r="F150" s="353">
        <f>IF(E150="","",IFERROR(IF(INDEX('Dashboard Items'!$B$2:$B$495,MATCH(E150,'Dashboard Items'!$A$2:$A$495,0))="Objective","Objectives go in the next column",IF(OR(D150="",INDEX('Dashboard Items'!$B$2:$B$495,MATCH(E150,'Dashboard Items'!$A$2:$A$495,0))=D150),INDEX('Dashboard Items'!$C$2:$C$495,MATCH(E150,'Dashboard Items'!$A$2:$A$495,0)),"Level does not match ID")),"ID not found"))</f>
        <v/>
      </c>
      <c r="G150" s="354" t="n"/>
      <c r="H150" s="353">
        <f>IF(G150="","",IF(ISNUMBER(SEARCH(",",G150)),"Several items (the script lists them)",IFERROR(INDEX('Dashboard Items'!$B$2:$B$495,MATCH(G150,'Dashboard Items'!$A$2:$A$495,0))&amp;": "&amp;INDEX('Dashboard Items'!$C$2:$C$495,MATCH(G150,'Dashboard Items'!$A$2:$A$495,0)),"ID not found")))</f>
        <v/>
      </c>
      <c r="I150" s="351" t="inlineStr">
        <is>
          <t>percent</t>
        </is>
      </c>
      <c r="J150" s="351" t="n">
        <v>0</v>
      </c>
      <c r="K150" s="351" t="inlineStr">
        <is>
          <t>Yes</t>
        </is>
      </c>
      <c r="L150" s="351" t="inlineStr">
        <is>
          <t>Target</t>
        </is>
      </c>
      <c r="M150" s="351" t="n">
        <v>0</v>
      </c>
      <c r="N150" s="351" t="n">
        <v>0</v>
      </c>
      <c r="O150" s="351" t="inlineStr">
        <is>
          <t>Yes</t>
        </is>
      </c>
      <c r="P150" s="351" t="inlineStr">
        <is>
          <t>Every year</t>
        </is>
      </c>
      <c r="Q150" s="351" t="n"/>
      <c r="R150" s="351" t="inlineStr">
        <is>
          <t>Parks and Recreation KPI summary (2023–2026), supplied by P&amp;R</t>
        </is>
      </c>
      <c r="S150" s="351" t="inlineStr">
        <is>
          <t>Share of available program spots filled, by year.</t>
        </is>
      </c>
      <c r="T150" s="351" t="n"/>
      <c r="U150" s="355">
        <f>IF(B150="","",IF(IF(D150&lt;&gt;"",D150,IFERROR(INDEX('Dashboard Items'!$B$2:$B$495,MATCH(E150,'Dashboard Items'!$A$2:$A$495,0)),""))="Key Service",IF(O150="No","Key Service: shown, not counted","Counts in Key Service gauge"),IF(IF(D150&lt;&gt;"",D150,IFERROR(INDEX('Dashboard Items'!$B$2:$B$495,MATCH(E150,'Dashboard Items'!$A$2:$A$495,0)),""))="Program",IF(ISNUMBER(SEARCH("ks",G150)),IF(O150="No","Program, also at Key Service: not counted","Counts in Key Service gauge + sets Program chip"),IF(O150="No","Program: shown, no status chip","Sets Program status chip")),IF(IF(D150&lt;&gt;"",D150,IFERROR(INDEX('Dashboard Items'!$B$2:$B$495,MATCH(E150,'Dashboard Items'!$A$2:$A$495,0)),""))="Work System","Work System: shown, not counted","Check Level"))))</f>
        <v/>
      </c>
    </row>
    <row r="151" ht="15" customHeight="1" s="210">
      <c r="A151" s="350">
        <f>LEFT(B151, FIND("-", B151) - 1)</f>
        <v/>
      </c>
      <c r="B151" s="351" t="inlineStr">
        <is>
          <t>REC-CAPYOUTH</t>
        </is>
      </c>
      <c r="C151" s="352" t="inlineStr">
        <is>
          <t>Program Capacity - Youth/Teen Rec</t>
        </is>
      </c>
      <c r="D151" s="351" t="inlineStr">
        <is>
          <t>Program</t>
        </is>
      </c>
      <c r="E151" s="351" t="inlineStr">
        <is>
          <t>p94</t>
        </is>
      </c>
      <c r="F151" s="353">
        <f>IF(E151="","",IFERROR(IF(INDEX('Dashboard Items'!$B$2:$B$495,MATCH(E151,'Dashboard Items'!$A$2:$A$495,0))="Objective","Objectives go in the next column",IF(OR(D151="",INDEX('Dashboard Items'!$B$2:$B$495,MATCH(E151,'Dashboard Items'!$A$2:$A$495,0))=D151),INDEX('Dashboard Items'!$C$2:$C$495,MATCH(E151,'Dashboard Items'!$A$2:$A$495,0)),"Level does not match ID")),"ID not found"))</f>
        <v/>
      </c>
      <c r="G151" s="354" t="n"/>
      <c r="H151" s="353">
        <f>IF(G151="","",IF(ISNUMBER(SEARCH(",",G151)),"Several items (the script lists them)",IFERROR(INDEX('Dashboard Items'!$B$2:$B$495,MATCH(G151,'Dashboard Items'!$A$2:$A$495,0))&amp;": "&amp;INDEX('Dashboard Items'!$C$2:$C$495,MATCH(G151,'Dashboard Items'!$A$2:$A$495,0)),"ID not found")))</f>
        <v/>
      </c>
      <c r="I151" s="351" t="inlineStr">
        <is>
          <t>percent</t>
        </is>
      </c>
      <c r="J151" s="351" t="n">
        <v>0</v>
      </c>
      <c r="K151" s="351" t="inlineStr">
        <is>
          <t>Yes</t>
        </is>
      </c>
      <c r="L151" s="351" t="inlineStr">
        <is>
          <t>Target</t>
        </is>
      </c>
      <c r="M151" s="351" t="n">
        <v>0</v>
      </c>
      <c r="N151" s="351" t="n">
        <v>0</v>
      </c>
      <c r="O151" s="351" t="inlineStr">
        <is>
          <t>Yes</t>
        </is>
      </c>
      <c r="P151" s="351" t="inlineStr">
        <is>
          <t>Every year</t>
        </is>
      </c>
      <c r="Q151" s="351" t="n"/>
      <c r="R151" s="351" t="inlineStr">
        <is>
          <t>Parks and Recreation KPI summary (2023–2026), supplied by P&amp;R</t>
        </is>
      </c>
      <c r="S151" s="351" t="inlineStr">
        <is>
          <t>Share of available program spots filled, by year.</t>
        </is>
      </c>
      <c r="T151" s="351" t="n"/>
      <c r="U151" s="355">
        <f>IF(B151="","",IF(IF(D151&lt;&gt;"",D151,IFERROR(INDEX('Dashboard Items'!$B$2:$B$495,MATCH(E151,'Dashboard Items'!$A$2:$A$495,0)),""))="Key Service",IF(O151="No","Key Service: shown, not counted","Counts in Key Service gauge"),IF(IF(D151&lt;&gt;"",D151,IFERROR(INDEX('Dashboard Items'!$B$2:$B$495,MATCH(E151,'Dashboard Items'!$A$2:$A$495,0)),""))="Program",IF(ISNUMBER(SEARCH("ks",G151)),IF(O151="No","Program, also at Key Service: not counted","Counts in Key Service gauge + sets Program chip"),IF(O151="No","Program: shown, no status chip","Sets Program status chip")),IF(IF(D151&lt;&gt;"",D151,IFERROR(INDEX('Dashboard Items'!$B$2:$B$495,MATCH(E151,'Dashboard Items'!$A$2:$A$495,0)),""))="Work System","Work System: shown, not counted","Check Level"))))</f>
        <v/>
      </c>
    </row>
    <row r="152" ht="15" customHeight="1" s="210">
      <c r="A152" s="350">
        <f>LEFT(B152, FIND("-", B152) - 1)</f>
        <v/>
      </c>
      <c r="B152" s="351" t="inlineStr">
        <is>
          <t>REC-CAPADULT</t>
        </is>
      </c>
      <c r="C152" s="352" t="inlineStr">
        <is>
          <t>Program Capacity - Adult/Senior Rec</t>
        </is>
      </c>
      <c r="D152" s="351" t="inlineStr">
        <is>
          <t>Program</t>
        </is>
      </c>
      <c r="E152" s="351" t="inlineStr">
        <is>
          <t>p96</t>
        </is>
      </c>
      <c r="F152" s="353">
        <f>IF(E152="","",IFERROR(IF(INDEX('Dashboard Items'!$B$2:$B$495,MATCH(E152,'Dashboard Items'!$A$2:$A$495,0))="Objective","Objectives go in the next column",IF(OR(D152="",INDEX('Dashboard Items'!$B$2:$B$495,MATCH(E152,'Dashboard Items'!$A$2:$A$495,0))=D152),INDEX('Dashboard Items'!$C$2:$C$495,MATCH(E152,'Dashboard Items'!$A$2:$A$495,0)),"Level does not match ID")),"ID not found"))</f>
        <v/>
      </c>
      <c r="G152" s="354" t="n"/>
      <c r="H152" s="353">
        <f>IF(G152="","",IF(ISNUMBER(SEARCH(",",G152)),"Several items (the script lists them)",IFERROR(INDEX('Dashboard Items'!$B$2:$B$495,MATCH(G152,'Dashboard Items'!$A$2:$A$495,0))&amp;": "&amp;INDEX('Dashboard Items'!$C$2:$C$495,MATCH(G152,'Dashboard Items'!$A$2:$A$495,0)),"ID not found")))</f>
        <v/>
      </c>
      <c r="I152" s="351" t="inlineStr">
        <is>
          <t>percent</t>
        </is>
      </c>
      <c r="J152" s="351" t="n">
        <v>0</v>
      </c>
      <c r="K152" s="351" t="inlineStr">
        <is>
          <t>Yes</t>
        </is>
      </c>
      <c r="L152" s="351" t="inlineStr">
        <is>
          <t>Target</t>
        </is>
      </c>
      <c r="M152" s="351" t="n">
        <v>0</v>
      </c>
      <c r="N152" s="351" t="n">
        <v>0</v>
      </c>
      <c r="O152" s="351" t="inlineStr">
        <is>
          <t>Yes</t>
        </is>
      </c>
      <c r="P152" s="351" t="inlineStr">
        <is>
          <t>Every year</t>
        </is>
      </c>
      <c r="Q152" s="351" t="n"/>
      <c r="R152" s="351" t="inlineStr">
        <is>
          <t>Parks and Recreation KPI summary (2023–2026), supplied by P&amp;R</t>
        </is>
      </c>
      <c r="S152" s="351" t="inlineStr">
        <is>
          <t>Share of available program spots filled, by year.</t>
        </is>
      </c>
      <c r="T152" s="351" t="n"/>
      <c r="U152" s="355">
        <f>IF(B152="","",IF(IF(D152&lt;&gt;"",D152,IFERROR(INDEX('Dashboard Items'!$B$2:$B$495,MATCH(E152,'Dashboard Items'!$A$2:$A$495,0)),""))="Key Service",IF(O152="No","Key Service: shown, not counted","Counts in Key Service gauge"),IF(IF(D152&lt;&gt;"",D152,IFERROR(INDEX('Dashboard Items'!$B$2:$B$495,MATCH(E152,'Dashboard Items'!$A$2:$A$495,0)),""))="Program",IF(ISNUMBER(SEARCH("ks",G152)),IF(O152="No","Program, also at Key Service: not counted","Counts in Key Service gauge + sets Program chip"),IF(O152="No","Program: shown, no status chip","Sets Program status chip")),IF(IF(D152&lt;&gt;"",D152,IFERROR(INDEX('Dashboard Items'!$B$2:$B$495,MATCH(E152,'Dashboard Items'!$A$2:$A$495,0)),""))="Work System","Work System: shown, not counted","Check Level"))))</f>
        <v/>
      </c>
    </row>
    <row r="153" ht="15" customHeight="1" s="210">
      <c r="A153" s="350">
        <f>LEFT(B153, FIND("-", B153) - 1)</f>
        <v/>
      </c>
      <c r="B153" s="351" t="inlineStr">
        <is>
          <t>REC-PASSRETCH</t>
        </is>
      </c>
      <c r="C153" s="352" t="inlineStr">
        <is>
          <t>Pass Retention - Chapman</t>
        </is>
      </c>
      <c r="D153" s="351" t="inlineStr">
        <is>
          <t>Program</t>
        </is>
      </c>
      <c r="E153" s="351" t="inlineStr">
        <is>
          <t>p119</t>
        </is>
      </c>
      <c r="F153" s="353">
        <f>IF(E153="","",IFERROR(IF(INDEX('Dashboard Items'!$B$2:$B$495,MATCH(E153,'Dashboard Items'!$A$2:$A$495,0))="Objective","Objectives go in the next column",IF(OR(D153="",INDEX('Dashboard Items'!$B$2:$B$495,MATCH(E153,'Dashboard Items'!$A$2:$A$495,0))=D153),INDEX('Dashboard Items'!$C$2:$C$495,MATCH(E153,'Dashboard Items'!$A$2:$A$495,0)),"Level does not match ID")),"ID not found"))</f>
        <v/>
      </c>
      <c r="G153" s="354" t="n"/>
      <c r="H153" s="353">
        <f>IF(G153="","",IF(ISNUMBER(SEARCH(",",G153)),"Several items (the script lists them)",IFERROR(INDEX('Dashboard Items'!$B$2:$B$495,MATCH(G153,'Dashboard Items'!$A$2:$A$495,0))&amp;": "&amp;INDEX('Dashboard Items'!$C$2:$C$495,MATCH(G153,'Dashboard Items'!$A$2:$A$495,0)),"ID not found")))</f>
        <v/>
      </c>
      <c r="I153" s="351" t="inlineStr">
        <is>
          <t>percent</t>
        </is>
      </c>
      <c r="J153" s="351" t="n">
        <v>0</v>
      </c>
      <c r="K153" s="351" t="inlineStr">
        <is>
          <t>Yes</t>
        </is>
      </c>
      <c r="L153" s="351" t="inlineStr">
        <is>
          <t>Target</t>
        </is>
      </c>
      <c r="M153" s="351" t="n">
        <v>0</v>
      </c>
      <c r="N153" s="351" t="n">
        <v>0</v>
      </c>
      <c r="O153" s="351" t="inlineStr">
        <is>
          <t>Yes</t>
        </is>
      </c>
      <c r="P153" s="351" t="inlineStr">
        <is>
          <t>Every year</t>
        </is>
      </c>
      <c r="Q153" s="351" t="n"/>
      <c r="R153" s="351" t="inlineStr">
        <is>
          <t>Parks and Recreation KPI summary (2023–2026), supplied by P&amp;R</t>
        </is>
      </c>
      <c r="S153" s="351" t="inlineStr">
        <is>
          <t>Share of pass holders who renew their pass, by year.</t>
        </is>
      </c>
      <c r="T153" s="351" t="n"/>
      <c r="U153" s="355">
        <f>IF(B153="","",IF(IF(D153&lt;&gt;"",D153,IFERROR(INDEX('Dashboard Items'!$B$2:$B$495,MATCH(E153,'Dashboard Items'!$A$2:$A$495,0)),""))="Key Service",IF(O153="No","Key Service: shown, not counted","Counts in Key Service gauge"),IF(IF(D153&lt;&gt;"",D153,IFERROR(INDEX('Dashboard Items'!$B$2:$B$495,MATCH(E153,'Dashboard Items'!$A$2:$A$495,0)),""))="Program",IF(ISNUMBER(SEARCH("ks",G153)),IF(O153="No","Program, also at Key Service: not counted","Counts in Key Service gauge + sets Program chip"),IF(O153="No","Program: shown, no status chip","Sets Program status chip")),IF(IF(D153&lt;&gt;"",D153,IFERROR(INDEX('Dashboard Items'!$B$2:$B$495,MATCH(E153,'Dashboard Items'!$A$2:$A$495,0)),""))="Work System","Work System: shown, not counted","Check Level"))))</f>
        <v/>
      </c>
    </row>
    <row r="154" ht="15" customHeight="1" s="210">
      <c r="A154" s="350">
        <f>LEFT(B154, FIND("-", B154) - 1)</f>
        <v/>
      </c>
      <c r="B154" s="351" t="inlineStr">
        <is>
          <t>REC-CAPCH</t>
        </is>
      </c>
      <c r="C154" s="352" t="inlineStr">
        <is>
          <t>Program Capacity - Chapman</t>
        </is>
      </c>
      <c r="D154" s="351" t="inlineStr">
        <is>
          <t>Program</t>
        </is>
      </c>
      <c r="E154" s="351" t="inlineStr">
        <is>
          <t>p119</t>
        </is>
      </c>
      <c r="F154" s="353">
        <f>IF(E154="","",IFERROR(IF(INDEX('Dashboard Items'!$B$2:$B$495,MATCH(E154,'Dashboard Items'!$A$2:$A$495,0))="Objective","Objectives go in the next column",IF(OR(D154="",INDEX('Dashboard Items'!$B$2:$B$495,MATCH(E154,'Dashboard Items'!$A$2:$A$495,0))=D154),INDEX('Dashboard Items'!$C$2:$C$495,MATCH(E154,'Dashboard Items'!$A$2:$A$495,0)),"Level does not match ID")),"ID not found"))</f>
        <v/>
      </c>
      <c r="G154" s="354" t="n"/>
      <c r="H154" s="353">
        <f>IF(G154="","",IF(ISNUMBER(SEARCH(",",G154)),"Several items (the script lists them)",IFERROR(INDEX('Dashboard Items'!$B$2:$B$495,MATCH(G154,'Dashboard Items'!$A$2:$A$495,0))&amp;": "&amp;INDEX('Dashboard Items'!$C$2:$C$495,MATCH(G154,'Dashboard Items'!$A$2:$A$495,0)),"ID not found")))</f>
        <v/>
      </c>
      <c r="I154" s="351" t="inlineStr">
        <is>
          <t>percent</t>
        </is>
      </c>
      <c r="J154" s="351" t="n">
        <v>0</v>
      </c>
      <c r="K154" s="351" t="inlineStr">
        <is>
          <t>Yes</t>
        </is>
      </c>
      <c r="L154" s="351" t="inlineStr">
        <is>
          <t>Target</t>
        </is>
      </c>
      <c r="M154" s="351" t="n">
        <v>0</v>
      </c>
      <c r="N154" s="351" t="n">
        <v>0</v>
      </c>
      <c r="O154" s="351" t="inlineStr">
        <is>
          <t>Yes</t>
        </is>
      </c>
      <c r="P154" s="351" t="inlineStr">
        <is>
          <t>Every year</t>
        </is>
      </c>
      <c r="Q154" s="351" t="n"/>
      <c r="R154" s="351" t="inlineStr">
        <is>
          <t>Parks and Recreation KPI summary (2023–2026), supplied by P&amp;R</t>
        </is>
      </c>
      <c r="S154" s="351" t="inlineStr">
        <is>
          <t>Share of available program spots filled, by year.</t>
        </is>
      </c>
      <c r="T154" s="351" t="n"/>
      <c r="U154" s="355">
        <f>IF(B154="","",IF(IF(D154&lt;&gt;"",D154,IFERROR(INDEX('Dashboard Items'!$B$2:$B$495,MATCH(E154,'Dashboard Items'!$A$2:$A$495,0)),""))="Key Service",IF(O154="No","Key Service: shown, not counted","Counts in Key Service gauge"),IF(IF(D154&lt;&gt;"",D154,IFERROR(INDEX('Dashboard Items'!$B$2:$B$495,MATCH(E154,'Dashboard Items'!$A$2:$A$495,0)),""))="Program",IF(ISNUMBER(SEARCH("ks",G154)),IF(O154="No","Program, also at Key Service: not counted","Counts in Key Service gauge + sets Program chip"),IF(O154="No","Program: shown, no status chip","Sets Program status chip")),IF(IF(D154&lt;&gt;"",D154,IFERROR(INDEX('Dashboard Items'!$B$2:$B$495,MATCH(E154,'Dashboard Items'!$A$2:$A$495,0)),""))="Work System","Work System: shown, not counted","Check Level"))))</f>
        <v/>
      </c>
    </row>
    <row r="155" ht="15" customHeight="1" s="210">
      <c r="A155" s="350">
        <f>LEFT(B155, FIND("-", B155) - 1)</f>
        <v/>
      </c>
      <c r="B155" s="351" t="inlineStr">
        <is>
          <t>REC-CAPGYM</t>
        </is>
      </c>
      <c r="C155" s="352" t="inlineStr">
        <is>
          <t>Program Capacity - Gymnastics</t>
        </is>
      </c>
      <c r="D155" s="351" t="inlineStr">
        <is>
          <t>Program</t>
        </is>
      </c>
      <c r="E155" s="351" t="inlineStr">
        <is>
          <t>p120</t>
        </is>
      </c>
      <c r="F155" s="353">
        <f>IF(E155="","",IFERROR(IF(INDEX('Dashboard Items'!$B$2:$B$495,MATCH(E155,'Dashboard Items'!$A$2:$A$495,0))="Objective","Objectives go in the next column",IF(OR(D155="",INDEX('Dashboard Items'!$B$2:$B$495,MATCH(E155,'Dashboard Items'!$A$2:$A$495,0))=D155),INDEX('Dashboard Items'!$C$2:$C$495,MATCH(E155,'Dashboard Items'!$A$2:$A$495,0)),"Level does not match ID")),"ID not found"))</f>
        <v/>
      </c>
      <c r="G155" s="354" t="n"/>
      <c r="H155" s="353">
        <f>IF(G155="","",IF(ISNUMBER(SEARCH(",",G155)),"Several items (the script lists them)",IFERROR(INDEX('Dashboard Items'!$B$2:$B$495,MATCH(G155,'Dashboard Items'!$A$2:$A$495,0))&amp;": "&amp;INDEX('Dashboard Items'!$C$2:$C$495,MATCH(G155,'Dashboard Items'!$A$2:$A$495,0)),"ID not found")))</f>
        <v/>
      </c>
      <c r="I155" s="351" t="inlineStr">
        <is>
          <t>percent</t>
        </is>
      </c>
      <c r="J155" s="351" t="n">
        <v>0</v>
      </c>
      <c r="K155" s="351" t="inlineStr">
        <is>
          <t>Yes</t>
        </is>
      </c>
      <c r="L155" s="351" t="inlineStr">
        <is>
          <t>Target</t>
        </is>
      </c>
      <c r="M155" s="351" t="n">
        <v>0</v>
      </c>
      <c r="N155" s="351" t="n">
        <v>0</v>
      </c>
      <c r="O155" s="351" t="inlineStr">
        <is>
          <t>Yes</t>
        </is>
      </c>
      <c r="P155" s="351" t="inlineStr">
        <is>
          <t>Every year</t>
        </is>
      </c>
      <c r="Q155" s="351" t="n"/>
      <c r="R155" s="351" t="inlineStr">
        <is>
          <t>Parks and Recreation KPI summary (2023–2026), supplied by P&amp;R</t>
        </is>
      </c>
      <c r="S155" s="351" t="inlineStr">
        <is>
          <t>Share of available program spots filled, by year.</t>
        </is>
      </c>
      <c r="T155" s="351" t="n"/>
      <c r="U155" s="355">
        <f>IF(B155="","",IF(IF(D155&lt;&gt;"",D155,IFERROR(INDEX('Dashboard Items'!$B$2:$B$495,MATCH(E155,'Dashboard Items'!$A$2:$A$495,0)),""))="Key Service",IF(O155="No","Key Service: shown, not counted","Counts in Key Service gauge"),IF(IF(D155&lt;&gt;"",D155,IFERROR(INDEX('Dashboard Items'!$B$2:$B$495,MATCH(E155,'Dashboard Items'!$A$2:$A$495,0)),""))="Program",IF(ISNUMBER(SEARCH("ks",G155)),IF(O155="No","Program, also at Key Service: not counted","Counts in Key Service gauge + sets Program chip"),IF(O155="No","Program: shown, no status chip","Sets Program status chip")),IF(IF(D155&lt;&gt;"",D155,IFERROR(INDEX('Dashboard Items'!$B$2:$B$495,MATCH(E155,'Dashboard Items'!$A$2:$A$495,0)),""))="Work System","Work System: shown, not counted","Check Level"))))</f>
        <v/>
      </c>
    </row>
    <row r="156" ht="15" customHeight="1" s="210">
      <c r="A156" s="350">
        <f>LEFT(B156, FIND("-", B156) - 1)</f>
        <v/>
      </c>
      <c r="B156" s="351" t="inlineStr">
        <is>
          <t>REC-CAPCHILD</t>
        </is>
      </c>
      <c r="C156" s="352" t="inlineStr">
        <is>
          <t>Program Capacity - Child Care</t>
        </is>
      </c>
      <c r="D156" s="351" t="inlineStr">
        <is>
          <t>Program</t>
        </is>
      </c>
      <c r="E156" s="351" t="inlineStr">
        <is>
          <t>p121</t>
        </is>
      </c>
      <c r="F156" s="353">
        <f>IF(E156="","",IFERROR(IF(INDEX('Dashboard Items'!$B$2:$B$495,MATCH(E156,'Dashboard Items'!$A$2:$A$495,0))="Objective","Objectives go in the next column",IF(OR(D156="",INDEX('Dashboard Items'!$B$2:$B$495,MATCH(E156,'Dashboard Items'!$A$2:$A$495,0))=D156),INDEX('Dashboard Items'!$C$2:$C$495,MATCH(E156,'Dashboard Items'!$A$2:$A$495,0)),"Level does not match ID")),"ID not found"))</f>
        <v/>
      </c>
      <c r="G156" s="354" t="n"/>
      <c r="H156" s="353">
        <f>IF(G156="","",IF(ISNUMBER(SEARCH(",",G156)),"Several items (the script lists them)",IFERROR(INDEX('Dashboard Items'!$B$2:$B$495,MATCH(G156,'Dashboard Items'!$A$2:$A$495,0))&amp;": "&amp;INDEX('Dashboard Items'!$C$2:$C$495,MATCH(G156,'Dashboard Items'!$A$2:$A$495,0)),"ID not found")))</f>
        <v/>
      </c>
      <c r="I156" s="351" t="n"/>
      <c r="J156" s="351" t="n"/>
      <c r="K156" s="351" t="n"/>
      <c r="L156" s="351" t="n"/>
      <c r="M156" s="351" t="n"/>
      <c r="N156" s="351" t="n"/>
      <c r="O156" s="351" t="n"/>
      <c r="P156" s="351" t="n"/>
      <c r="Q156" s="351" t="n"/>
      <c r="R156" s="351" t="n"/>
      <c r="S156" s="351" t="n"/>
      <c r="T156" s="351" t="n"/>
      <c r="U156" s="355">
        <f>IF(B156="","",IF(IF(D156&lt;&gt;"",D156,IFERROR(INDEX('Dashboard Items'!$B$2:$B$495,MATCH(E156,'Dashboard Items'!$A$2:$A$495,0)),""))="Key Service",IF(O156="No","Key Service: shown, not counted","Counts in Key Service gauge"),IF(IF(D156&lt;&gt;"",D156,IFERROR(INDEX('Dashboard Items'!$B$2:$B$495,MATCH(E156,'Dashboard Items'!$A$2:$A$495,0)),""))="Program",IF(ISNUMBER(SEARCH("ks",G156)),IF(O156="No","Program, also at Key Service: not counted","Counts in Key Service gauge + sets Program chip"),IF(O156="No","Program: shown, no status chip","Sets Program status chip")),IF(IF(D156&lt;&gt;"",D156,IFERROR(INDEX('Dashboard Items'!$B$2:$B$495,MATCH(E156,'Dashboard Items'!$A$2:$A$495,0)),""))="Work System","Work System: shown, not counted","Check Level"))))</f>
        <v/>
      </c>
    </row>
    <row r="157" ht="15" customHeight="1" s="210">
      <c r="B157" s="393" t="n"/>
      <c r="C157" s="393" t="n"/>
      <c r="D157" s="393" t="n"/>
      <c r="E157" s="393" t="n"/>
      <c r="F157" s="394">
        <f>IF(E157="","",IFERROR(IF(INDEX('Dashboard Items'!$B$2:$B$495,MATCH(E157,'Dashboard Items'!$A$2:$A$495,0))="Objective","Objectives go in the next column",IF(OR(D157="",INDEX('Dashboard Items'!$B$2:$B$495,MATCH(E157,'Dashboard Items'!$A$2:$A$495,0))=D157),INDEX('Dashboard Items'!$C$2:$C$495,MATCH(E157,'Dashboard Items'!$A$2:$A$495,0)),"Level does not match ID")),"ID not found"))</f>
        <v/>
      </c>
      <c r="G157" s="395" t="n"/>
      <c r="H157" s="394">
        <f>IF(G157="","",IF(ISNUMBER(SEARCH(",",G157)),"Several items (the script lists them)",IFERROR(INDEX('Dashboard Items'!$B$2:$B$495,MATCH(G157,'Dashboard Items'!$A$2:$A$495,0))&amp;": "&amp;INDEX('Dashboard Items'!$C$2:$C$495,MATCH(G157,'Dashboard Items'!$A$2:$A$495,0)),"ID not found")))</f>
        <v/>
      </c>
      <c r="I157" s="393" t="n"/>
      <c r="J157" s="393" t="n"/>
      <c r="K157" s="393" t="n"/>
      <c r="L157" s="393" t="n"/>
      <c r="M157" s="393" t="n"/>
      <c r="N157" s="393" t="n"/>
      <c r="O157" s="393" t="n"/>
      <c r="P157" s="393" t="n"/>
      <c r="Q157" s="393" t="n"/>
      <c r="R157" s="393" t="n"/>
      <c r="S157" s="393" t="n"/>
      <c r="T157" s="393" t="n"/>
      <c r="U157" s="355">
        <f>IF(B157="","",IF(IF(D157&lt;&gt;"",D157,IFERROR(INDEX('Dashboard Items'!$B$2:$B$495,MATCH(E157,'Dashboard Items'!$A$2:$A$495,0)),""))="Key Service",IF(O157="No","Key Service: shown, not counted","Counts in Key Service gauge"),IF(IF(D157&lt;&gt;"",D157,IFERROR(INDEX('Dashboard Items'!$B$2:$B$495,MATCH(E157,'Dashboard Items'!$A$2:$A$495,0)),""))="Program",IF(ISNUMBER(SEARCH("ks",G157)),IF(O157="No","Program, also at Key Service: not counted","Counts in Key Service gauge + sets Program chip"),IF(O157="No","Program: shown, no status chip","Sets Program status chip")),IF(IF(D157&lt;&gt;"",D157,IFERROR(INDEX('Dashboard Items'!$B$2:$B$495,MATCH(E157,'Dashboard Items'!$A$2:$A$495,0)),""))="Work System","Work System: shown, not counted","Check Level"))))</f>
        <v/>
      </c>
    </row>
    <row r="158" ht="15" customHeight="1" s="210">
      <c r="B158" s="393" t="n"/>
      <c r="C158" s="393" t="n"/>
      <c r="D158" s="393" t="n"/>
      <c r="E158" s="393" t="n"/>
      <c r="F158" s="394">
        <f>IF(E158="","",IFERROR(IF(INDEX('Dashboard Items'!$B$2:$B$495,MATCH(E158,'Dashboard Items'!$A$2:$A$495,0))="Objective","Objectives go in the next column",IF(OR(D158="",INDEX('Dashboard Items'!$B$2:$B$495,MATCH(E158,'Dashboard Items'!$A$2:$A$495,0))=D158),INDEX('Dashboard Items'!$C$2:$C$495,MATCH(E158,'Dashboard Items'!$A$2:$A$495,0)),"Level does not match ID")),"ID not found"))</f>
        <v/>
      </c>
      <c r="G158" s="395" t="n"/>
      <c r="H158" s="394">
        <f>IF(G158="","",IF(ISNUMBER(SEARCH(",",G158)),"Several items (the script lists them)",IFERROR(INDEX('Dashboard Items'!$B$2:$B$495,MATCH(G158,'Dashboard Items'!$A$2:$A$495,0))&amp;": "&amp;INDEX('Dashboard Items'!$C$2:$C$495,MATCH(G158,'Dashboard Items'!$A$2:$A$495,0)),"ID not found")))</f>
        <v/>
      </c>
      <c r="I158" s="393" t="n"/>
      <c r="J158" s="393" t="n"/>
      <c r="K158" s="393" t="n"/>
      <c r="L158" s="393" t="n"/>
      <c r="M158" s="393" t="n"/>
      <c r="N158" s="393" t="n"/>
      <c r="O158" s="393" t="n"/>
      <c r="P158" s="393" t="n"/>
      <c r="Q158" s="393" t="n"/>
      <c r="R158" s="393" t="n"/>
      <c r="S158" s="393" t="n"/>
      <c r="T158" s="393" t="n"/>
      <c r="U158" s="355">
        <f>IF(B158="","",IF(IF(D158&lt;&gt;"",D158,IFERROR(INDEX('Dashboard Items'!$B$2:$B$495,MATCH(E158,'Dashboard Items'!$A$2:$A$495,0)),""))="Key Service",IF(O158="No","Key Service: shown, not counted","Counts in Key Service gauge"),IF(IF(D158&lt;&gt;"",D158,IFERROR(INDEX('Dashboard Items'!$B$2:$B$495,MATCH(E158,'Dashboard Items'!$A$2:$A$495,0)),""))="Program",IF(ISNUMBER(SEARCH("ks",G158)),IF(O158="No","Program, also at Key Service: not counted","Counts in Key Service gauge + sets Program chip"),IF(O158="No","Program: shown, no status chip","Sets Program status chip")),IF(IF(D158&lt;&gt;"",D158,IFERROR(INDEX('Dashboard Items'!$B$2:$B$495,MATCH(E158,'Dashboard Items'!$A$2:$A$495,0)),""))="Work System","Work System: shown, not counted","Check Level"))))</f>
        <v/>
      </c>
    </row>
    <row r="159" ht="15" customHeight="1" s="210">
      <c r="B159" s="393" t="n"/>
      <c r="C159" s="393" t="n"/>
      <c r="D159" s="393" t="n"/>
      <c r="E159" s="393" t="n"/>
      <c r="F159" s="394">
        <f>IF(E159="","",IFERROR(IF(INDEX('Dashboard Items'!$B$2:$B$495,MATCH(E159,'Dashboard Items'!$A$2:$A$495,0))="Objective","Objectives go in the next column",IF(OR(D159="",INDEX('Dashboard Items'!$B$2:$B$495,MATCH(E159,'Dashboard Items'!$A$2:$A$495,0))=D159),INDEX('Dashboard Items'!$C$2:$C$495,MATCH(E159,'Dashboard Items'!$A$2:$A$495,0)),"Level does not match ID")),"ID not found"))</f>
        <v/>
      </c>
      <c r="G159" s="395" t="n"/>
      <c r="H159" s="394">
        <f>IF(G159="","",IF(ISNUMBER(SEARCH(",",G159)),"Several items (the script lists them)",IFERROR(INDEX('Dashboard Items'!$B$2:$B$495,MATCH(G159,'Dashboard Items'!$A$2:$A$495,0))&amp;": "&amp;INDEX('Dashboard Items'!$C$2:$C$495,MATCH(G159,'Dashboard Items'!$A$2:$A$495,0)),"ID not found")))</f>
        <v/>
      </c>
      <c r="I159" s="393" t="n"/>
      <c r="J159" s="393" t="n"/>
      <c r="K159" s="393" t="n"/>
      <c r="L159" s="393" t="n"/>
      <c r="M159" s="393" t="n"/>
      <c r="N159" s="393" t="n"/>
      <c r="O159" s="393" t="n"/>
      <c r="P159" s="393" t="n"/>
      <c r="Q159" s="393" t="n"/>
      <c r="R159" s="393" t="n"/>
      <c r="S159" s="393" t="n"/>
      <c r="T159" s="393" t="n"/>
      <c r="U159" s="355">
        <f>IF(B159="","",IF(IF(D159&lt;&gt;"",D159,IFERROR(INDEX('Dashboard Items'!$B$2:$B$495,MATCH(E159,'Dashboard Items'!$A$2:$A$495,0)),""))="Key Service",IF(O159="No","Key Service: shown, not counted","Counts in Key Service gauge"),IF(IF(D159&lt;&gt;"",D159,IFERROR(INDEX('Dashboard Items'!$B$2:$B$495,MATCH(E159,'Dashboard Items'!$A$2:$A$495,0)),""))="Program",IF(ISNUMBER(SEARCH("ks",G159)),IF(O159="No","Program, also at Key Service: not counted","Counts in Key Service gauge + sets Program chip"),IF(O159="No","Program: shown, no status chip","Sets Program status chip")),IF(IF(D159&lt;&gt;"",D159,IFERROR(INDEX('Dashboard Items'!$B$2:$B$495,MATCH(E159,'Dashboard Items'!$A$2:$A$495,0)),""))="Work System","Work System: shown, not counted","Check Level"))))</f>
        <v/>
      </c>
    </row>
    <row r="160" ht="15" customHeight="1" s="210">
      <c r="B160" s="393" t="n"/>
      <c r="C160" s="393" t="n"/>
      <c r="D160" s="393" t="n"/>
      <c r="E160" s="393" t="n"/>
      <c r="F160" s="394">
        <f>IF(E160="","",IFERROR(IF(INDEX('Dashboard Items'!$B$2:$B$495,MATCH(E160,'Dashboard Items'!$A$2:$A$495,0))="Objective","Objectives go in the next column",IF(OR(D160="",INDEX('Dashboard Items'!$B$2:$B$495,MATCH(E160,'Dashboard Items'!$A$2:$A$495,0))=D160),INDEX('Dashboard Items'!$C$2:$C$495,MATCH(E160,'Dashboard Items'!$A$2:$A$495,0)),"Level does not match ID")),"ID not found"))</f>
        <v/>
      </c>
      <c r="G160" s="395" t="n"/>
      <c r="H160" s="394">
        <f>IF(G160="","",IF(ISNUMBER(SEARCH(",",G160)),"Several items (the script lists them)",IFERROR(INDEX('Dashboard Items'!$B$2:$B$495,MATCH(G160,'Dashboard Items'!$A$2:$A$495,0))&amp;": "&amp;INDEX('Dashboard Items'!$C$2:$C$495,MATCH(G160,'Dashboard Items'!$A$2:$A$495,0)),"ID not found")))</f>
        <v/>
      </c>
      <c r="I160" s="393" t="n"/>
      <c r="J160" s="393" t="n"/>
      <c r="K160" s="393" t="n"/>
      <c r="L160" s="393" t="n"/>
      <c r="M160" s="393" t="n"/>
      <c r="N160" s="393" t="n"/>
      <c r="O160" s="393" t="n"/>
      <c r="P160" s="393" t="n"/>
      <c r="Q160" s="393" t="n"/>
      <c r="R160" s="393" t="n"/>
      <c r="S160" s="393" t="n"/>
      <c r="T160" s="393" t="n"/>
      <c r="U160" s="355">
        <f>IF(B160="","",IF(IF(D160&lt;&gt;"",D160,IFERROR(INDEX('Dashboard Items'!$B$2:$B$495,MATCH(E160,'Dashboard Items'!$A$2:$A$495,0)),""))="Key Service",IF(O160="No","Key Service: shown, not counted","Counts in Key Service gauge"),IF(IF(D160&lt;&gt;"",D160,IFERROR(INDEX('Dashboard Items'!$B$2:$B$495,MATCH(E160,'Dashboard Items'!$A$2:$A$495,0)),""))="Program",IF(ISNUMBER(SEARCH("ks",G160)),IF(O160="No","Program, also at Key Service: not counted","Counts in Key Service gauge + sets Program chip"),IF(O160="No","Program: shown, no status chip","Sets Program status chip")),IF(IF(D160&lt;&gt;"",D160,IFERROR(INDEX('Dashboard Items'!$B$2:$B$495,MATCH(E160,'Dashboard Items'!$A$2:$A$495,0)),""))="Work System","Work System: shown, not counted","Check Level"))))</f>
        <v/>
      </c>
    </row>
    <row r="161" ht="15" customHeight="1" s="210">
      <c r="B161" s="393" t="n"/>
      <c r="C161" s="393" t="n"/>
      <c r="D161" s="393" t="n"/>
      <c r="E161" s="393" t="n"/>
      <c r="F161" s="394">
        <f>IF(E161="","",IFERROR(IF(INDEX('Dashboard Items'!$B$2:$B$495,MATCH(E161,'Dashboard Items'!$A$2:$A$495,0))="Objective","Objectives go in the next column",IF(OR(D161="",INDEX('Dashboard Items'!$B$2:$B$495,MATCH(E161,'Dashboard Items'!$A$2:$A$495,0))=D161),INDEX('Dashboard Items'!$C$2:$C$495,MATCH(E161,'Dashboard Items'!$A$2:$A$495,0)),"Level does not match ID")),"ID not found"))</f>
        <v/>
      </c>
      <c r="G161" s="395" t="n"/>
      <c r="H161" s="394">
        <f>IF(G161="","",IF(ISNUMBER(SEARCH(",",G161)),"Several items (the script lists them)",IFERROR(INDEX('Dashboard Items'!$B$2:$B$495,MATCH(G161,'Dashboard Items'!$A$2:$A$495,0))&amp;": "&amp;INDEX('Dashboard Items'!$C$2:$C$495,MATCH(G161,'Dashboard Items'!$A$2:$A$495,0)),"ID not found")))</f>
        <v/>
      </c>
      <c r="I161" s="393" t="n"/>
      <c r="J161" s="393" t="n"/>
      <c r="K161" s="393" t="n"/>
      <c r="L161" s="393" t="n"/>
      <c r="M161" s="393" t="n"/>
      <c r="N161" s="393" t="n"/>
      <c r="O161" s="393" t="n"/>
      <c r="P161" s="393" t="n"/>
      <c r="Q161" s="393" t="n"/>
      <c r="R161" s="393" t="n"/>
      <c r="S161" s="393" t="n"/>
      <c r="T161" s="393" t="n"/>
      <c r="U161" s="355">
        <f>IF(B161="","",IF(IF(D161&lt;&gt;"",D161,IFERROR(INDEX('Dashboard Items'!$B$2:$B$495,MATCH(E161,'Dashboard Items'!$A$2:$A$495,0)),""))="Key Service",IF(O161="No","Key Service: shown, not counted","Counts in Key Service gauge"),IF(IF(D161&lt;&gt;"",D161,IFERROR(INDEX('Dashboard Items'!$B$2:$B$495,MATCH(E161,'Dashboard Items'!$A$2:$A$495,0)),""))="Program",IF(ISNUMBER(SEARCH("ks",G161)),IF(O161="No","Program, also at Key Service: not counted","Counts in Key Service gauge + sets Program chip"),IF(O161="No","Program: shown, no status chip","Sets Program status chip")),IF(IF(D161&lt;&gt;"",D161,IFERROR(INDEX('Dashboard Items'!$B$2:$B$495,MATCH(E161,'Dashboard Items'!$A$2:$A$495,0)),""))="Work System","Work System: shown, not counted","Check Level"))))</f>
        <v/>
      </c>
    </row>
    <row r="162" ht="15" customHeight="1" s="210">
      <c r="B162" s="393" t="n"/>
      <c r="C162" s="393" t="n"/>
      <c r="D162" s="393" t="n"/>
      <c r="E162" s="393" t="n"/>
      <c r="F162" s="394">
        <f>IF(E162="","",IFERROR(IF(INDEX('Dashboard Items'!$B$2:$B$495,MATCH(E162,'Dashboard Items'!$A$2:$A$495,0))="Objective","Objectives go in the next column",IF(OR(D162="",INDEX('Dashboard Items'!$B$2:$B$495,MATCH(E162,'Dashboard Items'!$A$2:$A$495,0))=D162),INDEX('Dashboard Items'!$C$2:$C$495,MATCH(E162,'Dashboard Items'!$A$2:$A$495,0)),"Level does not match ID")),"ID not found"))</f>
        <v/>
      </c>
      <c r="G162" s="395" t="n"/>
      <c r="H162" s="394">
        <f>IF(G162="","",IF(ISNUMBER(SEARCH(",",G162)),"Several items (the script lists them)",IFERROR(INDEX('Dashboard Items'!$B$2:$B$495,MATCH(G162,'Dashboard Items'!$A$2:$A$495,0))&amp;": "&amp;INDEX('Dashboard Items'!$C$2:$C$495,MATCH(G162,'Dashboard Items'!$A$2:$A$495,0)),"ID not found")))</f>
        <v/>
      </c>
      <c r="I162" s="393" t="n"/>
      <c r="J162" s="393" t="n"/>
      <c r="K162" s="393" t="n"/>
      <c r="L162" s="393" t="n"/>
      <c r="M162" s="393" t="n"/>
      <c r="N162" s="393" t="n"/>
      <c r="O162" s="393" t="n"/>
      <c r="P162" s="393" t="n"/>
      <c r="Q162" s="393" t="n"/>
      <c r="R162" s="393" t="n"/>
      <c r="S162" s="393" t="n"/>
      <c r="T162" s="393" t="n"/>
      <c r="U162" s="355">
        <f>IF(B162="","",IF(IF(D162&lt;&gt;"",D162,IFERROR(INDEX('Dashboard Items'!$B$2:$B$495,MATCH(E162,'Dashboard Items'!$A$2:$A$495,0)),""))="Key Service",IF(O162="No","Key Service: shown, not counted","Counts in Key Service gauge"),IF(IF(D162&lt;&gt;"",D162,IFERROR(INDEX('Dashboard Items'!$B$2:$B$495,MATCH(E162,'Dashboard Items'!$A$2:$A$495,0)),""))="Program",IF(ISNUMBER(SEARCH("ks",G162)),IF(O162="No","Program, also at Key Service: not counted","Counts in Key Service gauge + sets Program chip"),IF(O162="No","Program: shown, no status chip","Sets Program status chip")),IF(IF(D162&lt;&gt;"",D162,IFERROR(INDEX('Dashboard Items'!$B$2:$B$495,MATCH(E162,'Dashboard Items'!$A$2:$A$495,0)),""))="Work System","Work System: shown, not counted","Check Level"))))</f>
        <v/>
      </c>
    </row>
    <row r="163" ht="15" customHeight="1" s="210">
      <c r="B163" s="393" t="n"/>
      <c r="C163" s="393" t="n"/>
      <c r="D163" s="393" t="n"/>
      <c r="E163" s="393" t="n"/>
      <c r="F163" s="394">
        <f>IF(E163="","",IFERROR(IF(INDEX('Dashboard Items'!$B$2:$B$495,MATCH(E163,'Dashboard Items'!$A$2:$A$495,0))="Objective","Objectives go in the next column",IF(OR(D163="",INDEX('Dashboard Items'!$B$2:$B$495,MATCH(E163,'Dashboard Items'!$A$2:$A$495,0))=D163),INDEX('Dashboard Items'!$C$2:$C$495,MATCH(E163,'Dashboard Items'!$A$2:$A$495,0)),"Level does not match ID")),"ID not found"))</f>
        <v/>
      </c>
      <c r="G163" s="395" t="n"/>
      <c r="H163" s="394">
        <f>IF(G163="","",IF(ISNUMBER(SEARCH(",",G163)),"Several items (the script lists them)",IFERROR(INDEX('Dashboard Items'!$B$2:$B$495,MATCH(G163,'Dashboard Items'!$A$2:$A$495,0))&amp;": "&amp;INDEX('Dashboard Items'!$C$2:$C$495,MATCH(G163,'Dashboard Items'!$A$2:$A$495,0)),"ID not found")))</f>
        <v/>
      </c>
      <c r="I163" s="393" t="n"/>
      <c r="J163" s="393" t="n"/>
      <c r="K163" s="393" t="n"/>
      <c r="L163" s="393" t="n"/>
      <c r="M163" s="393" t="n"/>
      <c r="N163" s="393" t="n"/>
      <c r="O163" s="393" t="n"/>
      <c r="P163" s="393" t="n"/>
      <c r="Q163" s="393" t="n"/>
      <c r="R163" s="393" t="n"/>
      <c r="S163" s="393" t="n"/>
      <c r="T163" s="393" t="n"/>
      <c r="U163" s="355">
        <f>IF(B163="","",IF(IF(D163&lt;&gt;"",D163,IFERROR(INDEX('Dashboard Items'!$B$2:$B$495,MATCH(E163,'Dashboard Items'!$A$2:$A$495,0)),""))="Key Service",IF(O163="No","Key Service: shown, not counted","Counts in Key Service gauge"),IF(IF(D163&lt;&gt;"",D163,IFERROR(INDEX('Dashboard Items'!$B$2:$B$495,MATCH(E163,'Dashboard Items'!$A$2:$A$495,0)),""))="Program",IF(ISNUMBER(SEARCH("ks",G163)),IF(O163="No","Program, also at Key Service: not counted","Counts in Key Service gauge + sets Program chip"),IF(O163="No","Program: shown, no status chip","Sets Program status chip")),IF(IF(D163&lt;&gt;"",D163,IFERROR(INDEX('Dashboard Items'!$B$2:$B$495,MATCH(E163,'Dashboard Items'!$A$2:$A$495,0)),""))="Work System","Work System: shown, not counted","Check Level"))))</f>
        <v/>
      </c>
    </row>
    <row r="164" ht="15" customHeight="1" s="210">
      <c r="B164" s="393" t="n"/>
      <c r="C164" s="393" t="n"/>
      <c r="D164" s="393" t="n"/>
      <c r="E164" s="393" t="n"/>
      <c r="F164" s="394">
        <f>IF(E164="","",IFERROR(IF(INDEX('Dashboard Items'!$B$2:$B$495,MATCH(E164,'Dashboard Items'!$A$2:$A$495,0))="Objective","Objectives go in the next column",IF(OR(D164="",INDEX('Dashboard Items'!$B$2:$B$495,MATCH(E164,'Dashboard Items'!$A$2:$A$495,0))=D164),INDEX('Dashboard Items'!$C$2:$C$495,MATCH(E164,'Dashboard Items'!$A$2:$A$495,0)),"Level does not match ID")),"ID not found"))</f>
        <v/>
      </c>
      <c r="G164" s="395" t="n"/>
      <c r="H164" s="394">
        <f>IF(G164="","",IF(ISNUMBER(SEARCH(",",G164)),"Several items (the script lists them)",IFERROR(INDEX('Dashboard Items'!$B$2:$B$495,MATCH(G164,'Dashboard Items'!$A$2:$A$495,0))&amp;": "&amp;INDEX('Dashboard Items'!$C$2:$C$495,MATCH(G164,'Dashboard Items'!$A$2:$A$495,0)),"ID not found")))</f>
        <v/>
      </c>
      <c r="I164" s="393" t="n"/>
      <c r="J164" s="393" t="n"/>
      <c r="K164" s="393" t="n"/>
      <c r="L164" s="393" t="n"/>
      <c r="M164" s="393" t="n"/>
      <c r="N164" s="393" t="n"/>
      <c r="O164" s="393" t="n"/>
      <c r="P164" s="393" t="n"/>
      <c r="Q164" s="393" t="n"/>
      <c r="R164" s="393" t="n"/>
      <c r="S164" s="393" t="n"/>
      <c r="T164" s="393" t="n"/>
      <c r="U164" s="355">
        <f>IF(B164="","",IF(IF(D164&lt;&gt;"",D164,IFERROR(INDEX('Dashboard Items'!$B$2:$B$495,MATCH(E164,'Dashboard Items'!$A$2:$A$495,0)),""))="Key Service",IF(O164="No","Key Service: shown, not counted","Counts in Key Service gauge"),IF(IF(D164&lt;&gt;"",D164,IFERROR(INDEX('Dashboard Items'!$B$2:$B$495,MATCH(E164,'Dashboard Items'!$A$2:$A$495,0)),""))="Program",IF(ISNUMBER(SEARCH("ks",G164)),IF(O164="No","Program, also at Key Service: not counted","Counts in Key Service gauge + sets Program chip"),IF(O164="No","Program: shown, no status chip","Sets Program status chip")),IF(IF(D164&lt;&gt;"",D164,IFERROR(INDEX('Dashboard Items'!$B$2:$B$495,MATCH(E164,'Dashboard Items'!$A$2:$A$495,0)),""))="Work System","Work System: shown, not counted","Check Level"))))</f>
        <v/>
      </c>
    </row>
    <row r="165" ht="15" customHeight="1" s="210">
      <c r="B165" s="393" t="n"/>
      <c r="C165" s="393" t="n"/>
      <c r="D165" s="393" t="n"/>
      <c r="E165" s="393" t="n"/>
      <c r="F165" s="394">
        <f>IF(E165="","",IFERROR(IF(INDEX('Dashboard Items'!$B$2:$B$495,MATCH(E165,'Dashboard Items'!$A$2:$A$495,0))="Objective","Objectives go in the next column",IF(OR(D165="",INDEX('Dashboard Items'!$B$2:$B$495,MATCH(E165,'Dashboard Items'!$A$2:$A$495,0))=D165),INDEX('Dashboard Items'!$C$2:$C$495,MATCH(E165,'Dashboard Items'!$A$2:$A$495,0)),"Level does not match ID")),"ID not found"))</f>
        <v/>
      </c>
      <c r="G165" s="395" t="n"/>
      <c r="H165" s="394">
        <f>IF(G165="","",IF(ISNUMBER(SEARCH(",",G165)),"Several items (the script lists them)",IFERROR(INDEX('Dashboard Items'!$B$2:$B$495,MATCH(G165,'Dashboard Items'!$A$2:$A$495,0))&amp;": "&amp;INDEX('Dashboard Items'!$C$2:$C$495,MATCH(G165,'Dashboard Items'!$A$2:$A$495,0)),"ID not found")))</f>
        <v/>
      </c>
      <c r="I165" s="393" t="n"/>
      <c r="J165" s="393" t="n"/>
      <c r="K165" s="393" t="n"/>
      <c r="L165" s="393" t="n"/>
      <c r="M165" s="393" t="n"/>
      <c r="N165" s="393" t="n"/>
      <c r="O165" s="393" t="n"/>
      <c r="P165" s="393" t="n"/>
      <c r="Q165" s="393" t="n"/>
      <c r="R165" s="393" t="n"/>
      <c r="S165" s="393" t="n"/>
      <c r="T165" s="393" t="n"/>
      <c r="U165" s="355">
        <f>IF(B165="","",IF(IF(D165&lt;&gt;"",D165,IFERROR(INDEX('Dashboard Items'!$B$2:$B$495,MATCH(E165,'Dashboard Items'!$A$2:$A$495,0)),""))="Key Service",IF(O165="No","Key Service: shown, not counted","Counts in Key Service gauge"),IF(IF(D165&lt;&gt;"",D165,IFERROR(INDEX('Dashboard Items'!$B$2:$B$495,MATCH(E165,'Dashboard Items'!$A$2:$A$495,0)),""))="Program",IF(ISNUMBER(SEARCH("ks",G165)),IF(O165="No","Program, also at Key Service: not counted","Counts in Key Service gauge + sets Program chip"),IF(O165="No","Program: shown, no status chip","Sets Program status chip")),IF(IF(D165&lt;&gt;"",D165,IFERROR(INDEX('Dashboard Items'!$B$2:$B$495,MATCH(E165,'Dashboard Items'!$A$2:$A$495,0)),""))="Work System","Work System: shown, not counted","Check Level"))))</f>
        <v/>
      </c>
    </row>
    <row r="166" ht="15" customHeight="1" s="210">
      <c r="B166" s="393" t="n"/>
      <c r="C166" s="393" t="n"/>
      <c r="D166" s="393" t="n"/>
      <c r="E166" s="393" t="n"/>
      <c r="F166" s="394">
        <f>IF(E166="","",IFERROR(IF(INDEX('Dashboard Items'!$B$2:$B$495,MATCH(E166,'Dashboard Items'!$A$2:$A$495,0))="Objective","Objectives go in the next column",IF(OR(D166="",INDEX('Dashboard Items'!$B$2:$B$495,MATCH(E166,'Dashboard Items'!$A$2:$A$495,0))=D166),INDEX('Dashboard Items'!$C$2:$C$495,MATCH(E166,'Dashboard Items'!$A$2:$A$495,0)),"Level does not match ID")),"ID not found"))</f>
        <v/>
      </c>
      <c r="G166" s="395" t="n"/>
      <c r="H166" s="394">
        <f>IF(G166="","",IF(ISNUMBER(SEARCH(",",G166)),"Several items (the script lists them)",IFERROR(INDEX('Dashboard Items'!$B$2:$B$495,MATCH(G166,'Dashboard Items'!$A$2:$A$495,0))&amp;": "&amp;INDEX('Dashboard Items'!$C$2:$C$495,MATCH(G166,'Dashboard Items'!$A$2:$A$495,0)),"ID not found")))</f>
        <v/>
      </c>
      <c r="I166" s="393" t="n"/>
      <c r="J166" s="393" t="n"/>
      <c r="K166" s="393" t="n"/>
      <c r="L166" s="393" t="n"/>
      <c r="M166" s="393" t="n"/>
      <c r="N166" s="393" t="n"/>
      <c r="O166" s="393" t="n"/>
      <c r="P166" s="393" t="n"/>
      <c r="Q166" s="393" t="n"/>
      <c r="R166" s="393" t="n"/>
      <c r="S166" s="393" t="n"/>
      <c r="T166" s="393" t="n"/>
      <c r="U166" s="355">
        <f>IF(B166="","",IF(IF(D166&lt;&gt;"",D166,IFERROR(INDEX('Dashboard Items'!$B$2:$B$495,MATCH(E166,'Dashboard Items'!$A$2:$A$495,0)),""))="Key Service",IF(O166="No","Key Service: shown, not counted","Counts in Key Service gauge"),IF(IF(D166&lt;&gt;"",D166,IFERROR(INDEX('Dashboard Items'!$B$2:$B$495,MATCH(E166,'Dashboard Items'!$A$2:$A$495,0)),""))="Program",IF(ISNUMBER(SEARCH("ks",G166)),IF(O166="No","Program, also at Key Service: not counted","Counts in Key Service gauge + sets Program chip"),IF(O166="No","Program: shown, no status chip","Sets Program status chip")),IF(IF(D166&lt;&gt;"",D166,IFERROR(INDEX('Dashboard Items'!$B$2:$B$495,MATCH(E166,'Dashboard Items'!$A$2:$A$495,0)),""))="Work System","Work System: shown, not counted","Check Level"))))</f>
        <v/>
      </c>
    </row>
    <row r="167" ht="15" customHeight="1" s="210">
      <c r="B167" s="393" t="n"/>
      <c r="C167" s="393" t="n"/>
      <c r="D167" s="393" t="n"/>
      <c r="E167" s="393" t="n"/>
      <c r="F167" s="394">
        <f>IF(E167="","",IFERROR(IF(INDEX('Dashboard Items'!$B$2:$B$495,MATCH(E167,'Dashboard Items'!$A$2:$A$495,0))="Objective","Objectives go in the next column",IF(OR(D167="",INDEX('Dashboard Items'!$B$2:$B$495,MATCH(E167,'Dashboard Items'!$A$2:$A$495,0))=D167),INDEX('Dashboard Items'!$C$2:$C$495,MATCH(E167,'Dashboard Items'!$A$2:$A$495,0)),"Level does not match ID")),"ID not found"))</f>
        <v/>
      </c>
      <c r="G167" s="395" t="n"/>
      <c r="H167" s="394">
        <f>IF(G167="","",IF(ISNUMBER(SEARCH(",",G167)),"Several items (the script lists them)",IFERROR(INDEX('Dashboard Items'!$B$2:$B$495,MATCH(G167,'Dashboard Items'!$A$2:$A$495,0))&amp;": "&amp;INDEX('Dashboard Items'!$C$2:$C$495,MATCH(G167,'Dashboard Items'!$A$2:$A$495,0)),"ID not found")))</f>
        <v/>
      </c>
      <c r="I167" s="393" t="n"/>
      <c r="J167" s="393" t="n"/>
      <c r="K167" s="393" t="n"/>
      <c r="L167" s="393" t="n"/>
      <c r="M167" s="393" t="n"/>
      <c r="N167" s="393" t="n"/>
      <c r="O167" s="393" t="n"/>
      <c r="P167" s="393" t="n"/>
      <c r="Q167" s="393" t="n"/>
      <c r="R167" s="393" t="n"/>
      <c r="S167" s="393" t="n"/>
      <c r="T167" s="393" t="n"/>
      <c r="U167" s="355">
        <f>IF(B167="","",IF(IF(D167&lt;&gt;"",D167,IFERROR(INDEX('Dashboard Items'!$B$2:$B$495,MATCH(E167,'Dashboard Items'!$A$2:$A$495,0)),""))="Key Service",IF(O167="No","Key Service: shown, not counted","Counts in Key Service gauge"),IF(IF(D167&lt;&gt;"",D167,IFERROR(INDEX('Dashboard Items'!$B$2:$B$495,MATCH(E167,'Dashboard Items'!$A$2:$A$495,0)),""))="Program",IF(ISNUMBER(SEARCH("ks",G167)),IF(O167="No","Program, also at Key Service: not counted","Counts in Key Service gauge + sets Program chip"),IF(O167="No","Program: shown, no status chip","Sets Program status chip")),IF(IF(D167&lt;&gt;"",D167,IFERROR(INDEX('Dashboard Items'!$B$2:$B$495,MATCH(E167,'Dashboard Items'!$A$2:$A$495,0)),""))="Work System","Work System: shown, not counted","Check Level"))))</f>
        <v/>
      </c>
    </row>
    <row r="168" ht="15" customHeight="1" s="210">
      <c r="B168" s="393" t="n"/>
      <c r="C168" s="393" t="n"/>
      <c r="D168" s="393" t="n"/>
      <c r="E168" s="393" t="n"/>
      <c r="F168" s="394">
        <f>IF(E168="","",IFERROR(IF(INDEX('Dashboard Items'!$B$2:$B$495,MATCH(E168,'Dashboard Items'!$A$2:$A$495,0))="Objective","Objectives go in the next column",IF(OR(D168="",INDEX('Dashboard Items'!$B$2:$B$495,MATCH(E168,'Dashboard Items'!$A$2:$A$495,0))=D168),INDEX('Dashboard Items'!$C$2:$C$495,MATCH(E168,'Dashboard Items'!$A$2:$A$495,0)),"Level does not match ID")),"ID not found"))</f>
        <v/>
      </c>
      <c r="G168" s="395" t="n"/>
      <c r="H168" s="394">
        <f>IF(G168="","",IF(ISNUMBER(SEARCH(",",G168)),"Several items (the script lists them)",IFERROR(INDEX('Dashboard Items'!$B$2:$B$495,MATCH(G168,'Dashboard Items'!$A$2:$A$495,0))&amp;": "&amp;INDEX('Dashboard Items'!$C$2:$C$495,MATCH(G168,'Dashboard Items'!$A$2:$A$495,0)),"ID not found")))</f>
        <v/>
      </c>
      <c r="I168" s="393" t="n"/>
      <c r="J168" s="393" t="n"/>
      <c r="K168" s="393" t="n"/>
      <c r="L168" s="393" t="n"/>
      <c r="M168" s="393" t="n"/>
      <c r="N168" s="393" t="n"/>
      <c r="O168" s="393" t="n"/>
      <c r="P168" s="393" t="n"/>
      <c r="Q168" s="393" t="n"/>
      <c r="R168" s="393" t="n"/>
      <c r="S168" s="393" t="n"/>
      <c r="T168" s="393" t="n"/>
      <c r="U168" s="355">
        <f>IF(B168="","",IF(IF(D168&lt;&gt;"",D168,IFERROR(INDEX('Dashboard Items'!$B$2:$B$495,MATCH(E168,'Dashboard Items'!$A$2:$A$495,0)),""))="Key Service",IF(O168="No","Key Service: shown, not counted","Counts in Key Service gauge"),IF(IF(D168&lt;&gt;"",D168,IFERROR(INDEX('Dashboard Items'!$B$2:$B$495,MATCH(E168,'Dashboard Items'!$A$2:$A$495,0)),""))="Program",IF(ISNUMBER(SEARCH("ks",G168)),IF(O168="No","Program, also at Key Service: not counted","Counts in Key Service gauge + sets Program chip"),IF(O168="No","Program: shown, no status chip","Sets Program status chip")),IF(IF(D168&lt;&gt;"",D168,IFERROR(INDEX('Dashboard Items'!$B$2:$B$495,MATCH(E168,'Dashboard Items'!$A$2:$A$495,0)),""))="Work System","Work System: shown, not counted","Check Level"))))</f>
        <v/>
      </c>
    </row>
    <row r="169" ht="15" customHeight="1" s="210">
      <c r="B169" s="393" t="n"/>
      <c r="C169" s="393" t="n"/>
      <c r="D169" s="393" t="n"/>
      <c r="E169" s="393" t="n"/>
      <c r="F169" s="394">
        <f>IF(E169="","",IFERROR(IF(INDEX('Dashboard Items'!$B$2:$B$495,MATCH(E169,'Dashboard Items'!$A$2:$A$495,0))="Objective","Objectives go in the next column",IF(OR(D169="",INDEX('Dashboard Items'!$B$2:$B$495,MATCH(E169,'Dashboard Items'!$A$2:$A$495,0))=D169),INDEX('Dashboard Items'!$C$2:$C$495,MATCH(E169,'Dashboard Items'!$A$2:$A$495,0)),"Level does not match ID")),"ID not found"))</f>
        <v/>
      </c>
      <c r="G169" s="395" t="n"/>
      <c r="H169" s="394">
        <f>IF(G169="","",IF(ISNUMBER(SEARCH(",",G169)),"Several items (the script lists them)",IFERROR(INDEX('Dashboard Items'!$B$2:$B$495,MATCH(G169,'Dashboard Items'!$A$2:$A$495,0))&amp;": "&amp;INDEX('Dashboard Items'!$C$2:$C$495,MATCH(G169,'Dashboard Items'!$A$2:$A$495,0)),"ID not found")))</f>
        <v/>
      </c>
      <c r="I169" s="393" t="n"/>
      <c r="J169" s="393" t="n"/>
      <c r="K169" s="393" t="n"/>
      <c r="L169" s="393" t="n"/>
      <c r="M169" s="393" t="n"/>
      <c r="N169" s="393" t="n"/>
      <c r="O169" s="393" t="n"/>
      <c r="P169" s="393" t="n"/>
      <c r="Q169" s="393" t="n"/>
      <c r="R169" s="393" t="n"/>
      <c r="S169" s="393" t="n"/>
      <c r="T169" s="393" t="n"/>
      <c r="U169" s="355">
        <f>IF(B169="","",IF(IF(D169&lt;&gt;"",D169,IFERROR(INDEX('Dashboard Items'!$B$2:$B$495,MATCH(E169,'Dashboard Items'!$A$2:$A$495,0)),""))="Key Service",IF(O169="No","Key Service: shown, not counted","Counts in Key Service gauge"),IF(IF(D169&lt;&gt;"",D169,IFERROR(INDEX('Dashboard Items'!$B$2:$B$495,MATCH(E169,'Dashboard Items'!$A$2:$A$495,0)),""))="Program",IF(ISNUMBER(SEARCH("ks",G169)),IF(O169="No","Program, also at Key Service: not counted","Counts in Key Service gauge + sets Program chip"),IF(O169="No","Program: shown, no status chip","Sets Program status chip")),IF(IF(D169&lt;&gt;"",D169,IFERROR(INDEX('Dashboard Items'!$B$2:$B$495,MATCH(E169,'Dashboard Items'!$A$2:$A$495,0)),""))="Work System","Work System: shown, not counted","Check Level"))))</f>
        <v/>
      </c>
    </row>
    <row r="170" ht="15" customHeight="1" s="210">
      <c r="B170" s="393" t="n"/>
      <c r="C170" s="393" t="n"/>
      <c r="D170" s="393" t="n"/>
      <c r="E170" s="393" t="n"/>
      <c r="F170" s="394">
        <f>IF(E170="","",IFERROR(IF(INDEX('Dashboard Items'!$B$2:$B$495,MATCH(E170,'Dashboard Items'!$A$2:$A$495,0))="Objective","Objectives go in the next column",IF(OR(D170="",INDEX('Dashboard Items'!$B$2:$B$495,MATCH(E170,'Dashboard Items'!$A$2:$A$495,0))=D170),INDEX('Dashboard Items'!$C$2:$C$495,MATCH(E170,'Dashboard Items'!$A$2:$A$495,0)),"Level does not match ID")),"ID not found"))</f>
        <v/>
      </c>
      <c r="G170" s="395" t="n"/>
      <c r="H170" s="394">
        <f>IF(G170="","",IF(ISNUMBER(SEARCH(",",G170)),"Several items (the script lists them)",IFERROR(INDEX('Dashboard Items'!$B$2:$B$495,MATCH(G170,'Dashboard Items'!$A$2:$A$495,0))&amp;": "&amp;INDEX('Dashboard Items'!$C$2:$C$495,MATCH(G170,'Dashboard Items'!$A$2:$A$495,0)),"ID not found")))</f>
        <v/>
      </c>
      <c r="I170" s="393" t="n"/>
      <c r="J170" s="393" t="n"/>
      <c r="K170" s="393" t="n"/>
      <c r="L170" s="393" t="n"/>
      <c r="M170" s="393" t="n"/>
      <c r="N170" s="393" t="n"/>
      <c r="O170" s="393" t="n"/>
      <c r="P170" s="393" t="n"/>
      <c r="Q170" s="393" t="n"/>
      <c r="R170" s="393" t="n"/>
      <c r="S170" s="393" t="n"/>
      <c r="T170" s="393" t="n"/>
      <c r="U170" s="355">
        <f>IF(B170="","",IF(IF(D170&lt;&gt;"",D170,IFERROR(INDEX('Dashboard Items'!$B$2:$B$495,MATCH(E170,'Dashboard Items'!$A$2:$A$495,0)),""))="Key Service",IF(O170="No","Key Service: shown, not counted","Counts in Key Service gauge"),IF(IF(D170&lt;&gt;"",D170,IFERROR(INDEX('Dashboard Items'!$B$2:$B$495,MATCH(E170,'Dashboard Items'!$A$2:$A$495,0)),""))="Program",IF(ISNUMBER(SEARCH("ks",G170)),IF(O170="No","Program, also at Key Service: not counted","Counts in Key Service gauge + sets Program chip"),IF(O170="No","Program: shown, no status chip","Sets Program status chip")),IF(IF(D170&lt;&gt;"",D170,IFERROR(INDEX('Dashboard Items'!$B$2:$B$495,MATCH(E170,'Dashboard Items'!$A$2:$A$495,0)),""))="Work System","Work System: shown, not counted","Check Level"))))</f>
        <v/>
      </c>
    </row>
    <row r="171" ht="15" customHeight="1" s="210">
      <c r="B171" s="393" t="n"/>
      <c r="C171" s="393" t="n"/>
      <c r="D171" s="393" t="n"/>
      <c r="E171" s="393" t="n"/>
      <c r="F171" s="394">
        <f>IF(E171="","",IFERROR(IF(INDEX('Dashboard Items'!$B$2:$B$495,MATCH(E171,'Dashboard Items'!$A$2:$A$495,0))="Objective","Objectives go in the next column",IF(OR(D171="",INDEX('Dashboard Items'!$B$2:$B$495,MATCH(E171,'Dashboard Items'!$A$2:$A$495,0))=D171),INDEX('Dashboard Items'!$C$2:$C$495,MATCH(E171,'Dashboard Items'!$A$2:$A$495,0)),"Level does not match ID")),"ID not found"))</f>
        <v/>
      </c>
      <c r="G171" s="395" t="n"/>
      <c r="H171" s="394">
        <f>IF(G171="","",IF(ISNUMBER(SEARCH(",",G171)),"Several items (the script lists them)",IFERROR(INDEX('Dashboard Items'!$B$2:$B$495,MATCH(G171,'Dashboard Items'!$A$2:$A$495,0))&amp;": "&amp;INDEX('Dashboard Items'!$C$2:$C$495,MATCH(G171,'Dashboard Items'!$A$2:$A$495,0)),"ID not found")))</f>
        <v/>
      </c>
      <c r="I171" s="393" t="n"/>
      <c r="J171" s="393" t="n"/>
      <c r="K171" s="393" t="n"/>
      <c r="L171" s="393" t="n"/>
      <c r="M171" s="393" t="n"/>
      <c r="N171" s="393" t="n"/>
      <c r="O171" s="393" t="n"/>
      <c r="P171" s="393" t="n"/>
      <c r="Q171" s="393" t="n"/>
      <c r="R171" s="393" t="n"/>
      <c r="S171" s="393" t="n"/>
      <c r="T171" s="393" t="n"/>
      <c r="U171" s="355">
        <f>IF(B171="","",IF(IF(D171&lt;&gt;"",D171,IFERROR(INDEX('Dashboard Items'!$B$2:$B$495,MATCH(E171,'Dashboard Items'!$A$2:$A$495,0)),""))="Key Service",IF(O171="No","Key Service: shown, not counted","Counts in Key Service gauge"),IF(IF(D171&lt;&gt;"",D171,IFERROR(INDEX('Dashboard Items'!$B$2:$B$495,MATCH(E171,'Dashboard Items'!$A$2:$A$495,0)),""))="Program",IF(ISNUMBER(SEARCH("ks",G171)),IF(O171="No","Program, also at Key Service: not counted","Counts in Key Service gauge + sets Program chip"),IF(O171="No","Program: shown, no status chip","Sets Program status chip")),IF(IF(D171&lt;&gt;"",D171,IFERROR(INDEX('Dashboard Items'!$B$2:$B$495,MATCH(E171,'Dashboard Items'!$A$2:$A$495,0)),""))="Work System","Work System: shown, not counted","Check Level"))))</f>
        <v/>
      </c>
    </row>
    <row r="172" ht="15" customHeight="1" s="210">
      <c r="B172" s="393" t="n"/>
      <c r="C172" s="393" t="n"/>
      <c r="D172" s="393" t="n"/>
      <c r="E172" s="393" t="n"/>
      <c r="F172" s="394">
        <f>IF(E172="","",IFERROR(IF(INDEX('Dashboard Items'!$B$2:$B$495,MATCH(E172,'Dashboard Items'!$A$2:$A$495,0))="Objective","Objectives go in the next column",IF(OR(D172="",INDEX('Dashboard Items'!$B$2:$B$495,MATCH(E172,'Dashboard Items'!$A$2:$A$495,0))=D172),INDEX('Dashboard Items'!$C$2:$C$495,MATCH(E172,'Dashboard Items'!$A$2:$A$495,0)),"Level does not match ID")),"ID not found"))</f>
        <v/>
      </c>
      <c r="G172" s="395" t="n"/>
      <c r="H172" s="394">
        <f>IF(G172="","",IF(ISNUMBER(SEARCH(",",G172)),"Several items (the script lists them)",IFERROR(INDEX('Dashboard Items'!$B$2:$B$495,MATCH(G172,'Dashboard Items'!$A$2:$A$495,0))&amp;": "&amp;INDEX('Dashboard Items'!$C$2:$C$495,MATCH(G172,'Dashboard Items'!$A$2:$A$495,0)),"ID not found")))</f>
        <v/>
      </c>
      <c r="I172" s="393" t="n"/>
      <c r="J172" s="393" t="n"/>
      <c r="K172" s="393" t="n"/>
      <c r="L172" s="393" t="n"/>
      <c r="M172" s="393" t="n"/>
      <c r="N172" s="393" t="n"/>
      <c r="O172" s="393" t="n"/>
      <c r="P172" s="393" t="n"/>
      <c r="Q172" s="393" t="n"/>
      <c r="R172" s="393" t="n"/>
      <c r="S172" s="393" t="n"/>
      <c r="T172" s="393" t="n"/>
      <c r="U172" s="355">
        <f>IF(B172="","",IF(IF(D172&lt;&gt;"",D172,IFERROR(INDEX('Dashboard Items'!$B$2:$B$495,MATCH(E172,'Dashboard Items'!$A$2:$A$495,0)),""))="Key Service",IF(O172="No","Key Service: shown, not counted","Counts in Key Service gauge"),IF(IF(D172&lt;&gt;"",D172,IFERROR(INDEX('Dashboard Items'!$B$2:$B$495,MATCH(E172,'Dashboard Items'!$A$2:$A$495,0)),""))="Program",IF(ISNUMBER(SEARCH("ks",G172)),IF(O172="No","Program, also at Key Service: not counted","Counts in Key Service gauge + sets Program chip"),IF(O172="No","Program: shown, no status chip","Sets Program status chip")),IF(IF(D172&lt;&gt;"",D172,IFERROR(INDEX('Dashboard Items'!$B$2:$B$495,MATCH(E172,'Dashboard Items'!$A$2:$A$495,0)),""))="Work System","Work System: shown, not counted","Check Level"))))</f>
        <v/>
      </c>
    </row>
    <row r="173" ht="15" customHeight="1" s="210">
      <c r="B173" s="393" t="n"/>
      <c r="C173" s="393" t="n"/>
      <c r="D173" s="393" t="n"/>
      <c r="E173" s="393" t="n"/>
      <c r="F173" s="394">
        <f>IF(E173="","",IFERROR(IF(INDEX('Dashboard Items'!$B$2:$B$495,MATCH(E173,'Dashboard Items'!$A$2:$A$495,0))="Objective","Objectives go in the next column",IF(OR(D173="",INDEX('Dashboard Items'!$B$2:$B$495,MATCH(E173,'Dashboard Items'!$A$2:$A$495,0))=D173),INDEX('Dashboard Items'!$C$2:$C$495,MATCH(E173,'Dashboard Items'!$A$2:$A$495,0)),"Level does not match ID")),"ID not found"))</f>
        <v/>
      </c>
      <c r="G173" s="395" t="n"/>
      <c r="H173" s="394">
        <f>IF(G173="","",IF(ISNUMBER(SEARCH(",",G173)),"Several items (the script lists them)",IFERROR(INDEX('Dashboard Items'!$B$2:$B$495,MATCH(G173,'Dashboard Items'!$A$2:$A$495,0))&amp;": "&amp;INDEX('Dashboard Items'!$C$2:$C$495,MATCH(G173,'Dashboard Items'!$A$2:$A$495,0)),"ID not found")))</f>
        <v/>
      </c>
      <c r="I173" s="393" t="n"/>
      <c r="J173" s="393" t="n"/>
      <c r="K173" s="393" t="n"/>
      <c r="L173" s="393" t="n"/>
      <c r="M173" s="393" t="n"/>
      <c r="N173" s="393" t="n"/>
      <c r="O173" s="393" t="n"/>
      <c r="P173" s="393" t="n"/>
      <c r="Q173" s="393" t="n"/>
      <c r="R173" s="393" t="n"/>
      <c r="S173" s="393" t="n"/>
      <c r="T173" s="393" t="n"/>
      <c r="U173" s="355">
        <f>IF(B173="","",IF(IF(D173&lt;&gt;"",D173,IFERROR(INDEX('Dashboard Items'!$B$2:$B$495,MATCH(E173,'Dashboard Items'!$A$2:$A$495,0)),""))="Key Service",IF(O173="No","Key Service: shown, not counted","Counts in Key Service gauge"),IF(IF(D173&lt;&gt;"",D173,IFERROR(INDEX('Dashboard Items'!$B$2:$B$495,MATCH(E173,'Dashboard Items'!$A$2:$A$495,0)),""))="Program",IF(ISNUMBER(SEARCH("ks",G173)),IF(O173="No","Program, also at Key Service: not counted","Counts in Key Service gauge + sets Program chip"),IF(O173="No","Program: shown, no status chip","Sets Program status chip")),IF(IF(D173&lt;&gt;"",D173,IFERROR(INDEX('Dashboard Items'!$B$2:$B$495,MATCH(E173,'Dashboard Items'!$A$2:$A$495,0)),""))="Work System","Work System: shown, not counted","Check Level"))))</f>
        <v/>
      </c>
    </row>
    <row r="174" ht="15" customHeight="1" s="210">
      <c r="B174" s="393" t="n"/>
      <c r="C174" s="393" t="n"/>
      <c r="D174" s="393" t="n"/>
      <c r="E174" s="393" t="n"/>
      <c r="F174" s="394">
        <f>IF(E174="","",IFERROR(IF(INDEX('Dashboard Items'!$B$2:$B$495,MATCH(E174,'Dashboard Items'!$A$2:$A$495,0))="Objective","Objectives go in the next column",IF(OR(D174="",INDEX('Dashboard Items'!$B$2:$B$495,MATCH(E174,'Dashboard Items'!$A$2:$A$495,0))=D174),INDEX('Dashboard Items'!$C$2:$C$495,MATCH(E174,'Dashboard Items'!$A$2:$A$495,0)),"Level does not match ID")),"ID not found"))</f>
        <v/>
      </c>
      <c r="G174" s="395" t="n"/>
      <c r="H174" s="394">
        <f>IF(G174="","",IF(ISNUMBER(SEARCH(",",G174)),"Several items (the script lists them)",IFERROR(INDEX('Dashboard Items'!$B$2:$B$495,MATCH(G174,'Dashboard Items'!$A$2:$A$495,0))&amp;": "&amp;INDEX('Dashboard Items'!$C$2:$C$495,MATCH(G174,'Dashboard Items'!$A$2:$A$495,0)),"ID not found")))</f>
        <v/>
      </c>
      <c r="I174" s="393" t="n"/>
      <c r="J174" s="393" t="n"/>
      <c r="K174" s="393" t="n"/>
      <c r="L174" s="393" t="n"/>
      <c r="M174" s="393" t="n"/>
      <c r="N174" s="393" t="n"/>
      <c r="O174" s="393" t="n"/>
      <c r="P174" s="393" t="n"/>
      <c r="Q174" s="393" t="n"/>
      <c r="R174" s="393" t="n"/>
      <c r="S174" s="393" t="n"/>
      <c r="T174" s="393" t="n"/>
      <c r="U174" s="355">
        <f>IF(B174="","",IF(IF(D174&lt;&gt;"",D174,IFERROR(INDEX('Dashboard Items'!$B$2:$B$495,MATCH(E174,'Dashboard Items'!$A$2:$A$495,0)),""))="Key Service",IF(O174="No","Key Service: shown, not counted","Counts in Key Service gauge"),IF(IF(D174&lt;&gt;"",D174,IFERROR(INDEX('Dashboard Items'!$B$2:$B$495,MATCH(E174,'Dashboard Items'!$A$2:$A$495,0)),""))="Program",IF(ISNUMBER(SEARCH("ks",G174)),IF(O174="No","Program, also at Key Service: not counted","Counts in Key Service gauge + sets Program chip"),IF(O174="No","Program: shown, no status chip","Sets Program status chip")),IF(IF(D174&lt;&gt;"",D174,IFERROR(INDEX('Dashboard Items'!$B$2:$B$495,MATCH(E174,'Dashboard Items'!$A$2:$A$495,0)),""))="Work System","Work System: shown, not counted","Check Level"))))</f>
        <v/>
      </c>
    </row>
    <row r="175" ht="15" customHeight="1" s="210">
      <c r="B175" s="393" t="n"/>
      <c r="C175" s="393" t="n"/>
      <c r="D175" s="393" t="n"/>
      <c r="E175" s="393" t="n"/>
      <c r="F175" s="394">
        <f>IF(E175="","",IFERROR(IF(INDEX('Dashboard Items'!$B$2:$B$495,MATCH(E175,'Dashboard Items'!$A$2:$A$495,0))="Objective","Objectives go in the next column",IF(OR(D175="",INDEX('Dashboard Items'!$B$2:$B$495,MATCH(E175,'Dashboard Items'!$A$2:$A$495,0))=D175),INDEX('Dashboard Items'!$C$2:$C$495,MATCH(E175,'Dashboard Items'!$A$2:$A$495,0)),"Level does not match ID")),"ID not found"))</f>
        <v/>
      </c>
      <c r="G175" s="395" t="n"/>
      <c r="H175" s="394">
        <f>IF(G175="","",IF(ISNUMBER(SEARCH(",",G175)),"Several items (the script lists them)",IFERROR(INDEX('Dashboard Items'!$B$2:$B$495,MATCH(G175,'Dashboard Items'!$A$2:$A$495,0))&amp;": "&amp;INDEX('Dashboard Items'!$C$2:$C$495,MATCH(G175,'Dashboard Items'!$A$2:$A$495,0)),"ID not found")))</f>
        <v/>
      </c>
      <c r="I175" s="393" t="n"/>
      <c r="J175" s="393" t="n"/>
      <c r="K175" s="393" t="n"/>
      <c r="L175" s="393" t="n"/>
      <c r="M175" s="393" t="n"/>
      <c r="N175" s="393" t="n"/>
      <c r="O175" s="393" t="n"/>
      <c r="P175" s="393" t="n"/>
      <c r="Q175" s="393" t="n"/>
      <c r="R175" s="393" t="n"/>
      <c r="S175" s="393" t="n"/>
      <c r="T175" s="393" t="n"/>
      <c r="U175" s="355">
        <f>IF(B175="","",IF(IF(D175&lt;&gt;"",D175,IFERROR(INDEX('Dashboard Items'!$B$2:$B$495,MATCH(E175,'Dashboard Items'!$A$2:$A$495,0)),""))="Key Service",IF(O175="No","Key Service: shown, not counted","Counts in Key Service gauge"),IF(IF(D175&lt;&gt;"",D175,IFERROR(INDEX('Dashboard Items'!$B$2:$B$495,MATCH(E175,'Dashboard Items'!$A$2:$A$495,0)),""))="Program",IF(ISNUMBER(SEARCH("ks",G175)),IF(O175="No","Program, also at Key Service: not counted","Counts in Key Service gauge + sets Program chip"),IF(O175="No","Program: shown, no status chip","Sets Program status chip")),IF(IF(D175&lt;&gt;"",D175,IFERROR(INDEX('Dashboard Items'!$B$2:$B$495,MATCH(E175,'Dashboard Items'!$A$2:$A$495,0)),""))="Work System","Work System: shown, not counted","Check Level"))))</f>
        <v/>
      </c>
    </row>
    <row r="176" ht="15" customHeight="1" s="210">
      <c r="B176" s="393" t="n"/>
      <c r="C176" s="393" t="n"/>
      <c r="D176" s="393" t="n"/>
      <c r="E176" s="393" t="n"/>
      <c r="F176" s="394">
        <f>IF(E176="","",IFERROR(IF(INDEX('Dashboard Items'!$B$2:$B$495,MATCH(E176,'Dashboard Items'!$A$2:$A$495,0))="Objective","Objectives go in the next column",IF(OR(D176="",INDEX('Dashboard Items'!$B$2:$B$495,MATCH(E176,'Dashboard Items'!$A$2:$A$495,0))=D176),INDEX('Dashboard Items'!$C$2:$C$495,MATCH(E176,'Dashboard Items'!$A$2:$A$495,0)),"Level does not match ID")),"ID not found"))</f>
        <v/>
      </c>
      <c r="G176" s="395" t="n"/>
      <c r="H176" s="394">
        <f>IF(G176="","",IF(ISNUMBER(SEARCH(",",G176)),"Several items (the script lists them)",IFERROR(INDEX('Dashboard Items'!$B$2:$B$495,MATCH(G176,'Dashboard Items'!$A$2:$A$495,0))&amp;": "&amp;INDEX('Dashboard Items'!$C$2:$C$495,MATCH(G176,'Dashboard Items'!$A$2:$A$495,0)),"ID not found")))</f>
        <v/>
      </c>
      <c r="I176" s="393" t="n"/>
      <c r="J176" s="393" t="n"/>
      <c r="K176" s="393" t="n"/>
      <c r="L176" s="393" t="n"/>
      <c r="M176" s="393" t="n"/>
      <c r="N176" s="393" t="n"/>
      <c r="O176" s="393" t="n"/>
      <c r="P176" s="393" t="n"/>
      <c r="Q176" s="393" t="n"/>
      <c r="R176" s="393" t="n"/>
      <c r="S176" s="393" t="n"/>
      <c r="T176" s="393" t="n"/>
      <c r="U176" s="355">
        <f>IF(B176="","",IF(IF(D176&lt;&gt;"",D176,IFERROR(INDEX('Dashboard Items'!$B$2:$B$495,MATCH(E176,'Dashboard Items'!$A$2:$A$495,0)),""))="Key Service",IF(O176="No","Key Service: shown, not counted","Counts in Key Service gauge"),IF(IF(D176&lt;&gt;"",D176,IFERROR(INDEX('Dashboard Items'!$B$2:$B$495,MATCH(E176,'Dashboard Items'!$A$2:$A$495,0)),""))="Program",IF(ISNUMBER(SEARCH("ks",G176)),IF(O176="No","Program, also at Key Service: not counted","Counts in Key Service gauge + sets Program chip"),IF(O176="No","Program: shown, no status chip","Sets Program status chip")),IF(IF(D176&lt;&gt;"",D176,IFERROR(INDEX('Dashboard Items'!$B$2:$B$495,MATCH(E176,'Dashboard Items'!$A$2:$A$495,0)),""))="Work System","Work System: shown, not counted","Check Level"))))</f>
        <v/>
      </c>
    </row>
    <row r="177" ht="15" customHeight="1" s="210">
      <c r="B177" s="393" t="n"/>
      <c r="C177" s="393" t="n"/>
      <c r="D177" s="393" t="n"/>
      <c r="E177" s="393" t="n"/>
      <c r="F177" s="394">
        <f>IF(E177="","",IFERROR(IF(INDEX('Dashboard Items'!$B$2:$B$495,MATCH(E177,'Dashboard Items'!$A$2:$A$495,0))="Objective","Objectives go in the next column",IF(OR(D177="",INDEX('Dashboard Items'!$B$2:$B$495,MATCH(E177,'Dashboard Items'!$A$2:$A$495,0))=D177),INDEX('Dashboard Items'!$C$2:$C$495,MATCH(E177,'Dashboard Items'!$A$2:$A$495,0)),"Level does not match ID")),"ID not found"))</f>
        <v/>
      </c>
      <c r="G177" s="395" t="n"/>
      <c r="H177" s="394">
        <f>IF(G177="","",IF(ISNUMBER(SEARCH(",",G177)),"Several items (the script lists them)",IFERROR(INDEX('Dashboard Items'!$B$2:$B$495,MATCH(G177,'Dashboard Items'!$A$2:$A$495,0))&amp;": "&amp;INDEX('Dashboard Items'!$C$2:$C$495,MATCH(G177,'Dashboard Items'!$A$2:$A$495,0)),"ID not found")))</f>
        <v/>
      </c>
      <c r="I177" s="393" t="n"/>
      <c r="J177" s="393" t="n"/>
      <c r="K177" s="393" t="n"/>
      <c r="L177" s="393" t="n"/>
      <c r="M177" s="393" t="n"/>
      <c r="N177" s="393" t="n"/>
      <c r="O177" s="393" t="n"/>
      <c r="P177" s="393" t="n"/>
      <c r="Q177" s="393" t="n"/>
      <c r="R177" s="393" t="n"/>
      <c r="S177" s="393" t="n"/>
      <c r="T177" s="393" t="n"/>
      <c r="U177" s="355">
        <f>IF(B177="","",IF(IF(D177&lt;&gt;"",D177,IFERROR(INDEX('Dashboard Items'!$B$2:$B$495,MATCH(E177,'Dashboard Items'!$A$2:$A$495,0)),""))="Key Service",IF(O177="No","Key Service: shown, not counted","Counts in Key Service gauge"),IF(IF(D177&lt;&gt;"",D177,IFERROR(INDEX('Dashboard Items'!$B$2:$B$495,MATCH(E177,'Dashboard Items'!$A$2:$A$495,0)),""))="Program",IF(ISNUMBER(SEARCH("ks",G177)),IF(O177="No","Program, also at Key Service: not counted","Counts in Key Service gauge + sets Program chip"),IF(O177="No","Program: shown, no status chip","Sets Program status chip")),IF(IF(D177&lt;&gt;"",D177,IFERROR(INDEX('Dashboard Items'!$B$2:$B$495,MATCH(E177,'Dashboard Items'!$A$2:$A$495,0)),""))="Work System","Work System: shown, not counted","Check Level"))))</f>
        <v/>
      </c>
    </row>
    <row r="178" ht="15" customHeight="1" s="210">
      <c r="B178" s="393" t="n"/>
      <c r="C178" s="393" t="n"/>
      <c r="D178" s="393" t="n"/>
      <c r="E178" s="393" t="n"/>
      <c r="F178" s="394">
        <f>IF(E178="","",IFERROR(IF(INDEX('Dashboard Items'!$B$2:$B$495,MATCH(E178,'Dashboard Items'!$A$2:$A$495,0))="Objective","Objectives go in the next column",IF(OR(D178="",INDEX('Dashboard Items'!$B$2:$B$495,MATCH(E178,'Dashboard Items'!$A$2:$A$495,0))=D178),INDEX('Dashboard Items'!$C$2:$C$495,MATCH(E178,'Dashboard Items'!$A$2:$A$495,0)),"Level does not match ID")),"ID not found"))</f>
        <v/>
      </c>
      <c r="G178" s="395" t="n"/>
      <c r="H178" s="394">
        <f>IF(G178="","",IF(ISNUMBER(SEARCH(",",G178)),"Several items (the script lists them)",IFERROR(INDEX('Dashboard Items'!$B$2:$B$495,MATCH(G178,'Dashboard Items'!$A$2:$A$495,0))&amp;": "&amp;INDEX('Dashboard Items'!$C$2:$C$495,MATCH(G178,'Dashboard Items'!$A$2:$A$495,0)),"ID not found")))</f>
        <v/>
      </c>
      <c r="I178" s="393" t="n"/>
      <c r="J178" s="393" t="n"/>
      <c r="K178" s="393" t="n"/>
      <c r="L178" s="393" t="n"/>
      <c r="M178" s="393" t="n"/>
      <c r="N178" s="393" t="n"/>
      <c r="O178" s="393" t="n"/>
      <c r="P178" s="393" t="n"/>
      <c r="Q178" s="393" t="n"/>
      <c r="R178" s="393" t="n"/>
      <c r="S178" s="393" t="n"/>
      <c r="T178" s="393" t="n"/>
      <c r="U178" s="355">
        <f>IF(B178="","",IF(IF(D178&lt;&gt;"",D178,IFERROR(INDEX('Dashboard Items'!$B$2:$B$495,MATCH(E178,'Dashboard Items'!$A$2:$A$495,0)),""))="Key Service",IF(O178="No","Key Service: shown, not counted","Counts in Key Service gauge"),IF(IF(D178&lt;&gt;"",D178,IFERROR(INDEX('Dashboard Items'!$B$2:$B$495,MATCH(E178,'Dashboard Items'!$A$2:$A$495,0)),""))="Program",IF(ISNUMBER(SEARCH("ks",G178)),IF(O178="No","Program, also at Key Service: not counted","Counts in Key Service gauge + sets Program chip"),IF(O178="No","Program: shown, no status chip","Sets Program status chip")),IF(IF(D178&lt;&gt;"",D178,IFERROR(INDEX('Dashboard Items'!$B$2:$B$495,MATCH(E178,'Dashboard Items'!$A$2:$A$495,0)),""))="Work System","Work System: shown, not counted","Check Level"))))</f>
        <v/>
      </c>
    </row>
    <row r="179" ht="15" customHeight="1" s="210">
      <c r="B179" s="393" t="n"/>
      <c r="C179" s="393" t="n"/>
      <c r="D179" s="393" t="n"/>
      <c r="E179" s="393" t="n"/>
      <c r="F179" s="394">
        <f>IF(E179="","",IFERROR(IF(INDEX('Dashboard Items'!$B$2:$B$495,MATCH(E179,'Dashboard Items'!$A$2:$A$495,0))="Objective","Objectives go in the next column",IF(OR(D179="",INDEX('Dashboard Items'!$B$2:$B$495,MATCH(E179,'Dashboard Items'!$A$2:$A$495,0))=D179),INDEX('Dashboard Items'!$C$2:$C$495,MATCH(E179,'Dashboard Items'!$A$2:$A$495,0)),"Level does not match ID")),"ID not found"))</f>
        <v/>
      </c>
      <c r="G179" s="395" t="n"/>
      <c r="H179" s="394">
        <f>IF(G179="","",IF(ISNUMBER(SEARCH(",",G179)),"Several items (the script lists them)",IFERROR(INDEX('Dashboard Items'!$B$2:$B$495,MATCH(G179,'Dashboard Items'!$A$2:$A$495,0))&amp;": "&amp;INDEX('Dashboard Items'!$C$2:$C$495,MATCH(G179,'Dashboard Items'!$A$2:$A$495,0)),"ID not found")))</f>
        <v/>
      </c>
      <c r="I179" s="393" t="n"/>
      <c r="J179" s="393" t="n"/>
      <c r="K179" s="393" t="n"/>
      <c r="L179" s="393" t="n"/>
      <c r="M179" s="393" t="n"/>
      <c r="N179" s="393" t="n"/>
      <c r="O179" s="393" t="n"/>
      <c r="P179" s="393" t="n"/>
      <c r="Q179" s="393" t="n"/>
      <c r="R179" s="393" t="n"/>
      <c r="S179" s="393" t="n"/>
      <c r="T179" s="393" t="n"/>
      <c r="U179" s="355">
        <f>IF(B179="","",IF(IF(D179&lt;&gt;"",D179,IFERROR(INDEX('Dashboard Items'!$B$2:$B$495,MATCH(E179,'Dashboard Items'!$A$2:$A$495,0)),""))="Key Service",IF(O179="No","Key Service: shown, not counted","Counts in Key Service gauge"),IF(IF(D179&lt;&gt;"",D179,IFERROR(INDEX('Dashboard Items'!$B$2:$B$495,MATCH(E179,'Dashboard Items'!$A$2:$A$495,0)),""))="Program",IF(ISNUMBER(SEARCH("ks",G179)),IF(O179="No","Program, also at Key Service: not counted","Counts in Key Service gauge + sets Program chip"),IF(O179="No","Program: shown, no status chip","Sets Program status chip")),IF(IF(D179&lt;&gt;"",D179,IFERROR(INDEX('Dashboard Items'!$B$2:$B$495,MATCH(E179,'Dashboard Items'!$A$2:$A$495,0)),""))="Work System","Work System: shown, not counted","Check Level"))))</f>
        <v/>
      </c>
    </row>
    <row r="180" ht="15" customHeight="1" s="210">
      <c r="B180" s="393" t="n"/>
      <c r="C180" s="393" t="n"/>
      <c r="D180" s="393" t="n"/>
      <c r="E180" s="393" t="n"/>
      <c r="F180" s="394">
        <f>IF(E180="","",IFERROR(IF(INDEX('Dashboard Items'!$B$2:$B$495,MATCH(E180,'Dashboard Items'!$A$2:$A$495,0))="Objective","Objectives go in the next column",IF(OR(D180="",INDEX('Dashboard Items'!$B$2:$B$495,MATCH(E180,'Dashboard Items'!$A$2:$A$495,0))=D180),INDEX('Dashboard Items'!$C$2:$C$495,MATCH(E180,'Dashboard Items'!$A$2:$A$495,0)),"Level does not match ID")),"ID not found"))</f>
        <v/>
      </c>
      <c r="G180" s="395" t="n"/>
      <c r="H180" s="394">
        <f>IF(G180="","",IF(ISNUMBER(SEARCH(",",G180)),"Several items (the script lists them)",IFERROR(INDEX('Dashboard Items'!$B$2:$B$495,MATCH(G180,'Dashboard Items'!$A$2:$A$495,0))&amp;": "&amp;INDEX('Dashboard Items'!$C$2:$C$495,MATCH(G180,'Dashboard Items'!$A$2:$A$495,0)),"ID not found")))</f>
        <v/>
      </c>
      <c r="I180" s="393" t="n"/>
      <c r="J180" s="393" t="n"/>
      <c r="K180" s="393" t="n"/>
      <c r="L180" s="393" t="n"/>
      <c r="M180" s="393" t="n"/>
      <c r="N180" s="393" t="n"/>
      <c r="O180" s="393" t="n"/>
      <c r="P180" s="393" t="n"/>
      <c r="Q180" s="393" t="n"/>
      <c r="R180" s="393" t="n"/>
      <c r="S180" s="393" t="n"/>
      <c r="T180" s="393" t="n"/>
      <c r="U180" s="355">
        <f>IF(B180="","",IF(IF(D180&lt;&gt;"",D180,IFERROR(INDEX('Dashboard Items'!$B$2:$B$495,MATCH(E180,'Dashboard Items'!$A$2:$A$495,0)),""))="Key Service",IF(O180="No","Key Service: shown, not counted","Counts in Key Service gauge"),IF(IF(D180&lt;&gt;"",D180,IFERROR(INDEX('Dashboard Items'!$B$2:$B$495,MATCH(E180,'Dashboard Items'!$A$2:$A$495,0)),""))="Program",IF(ISNUMBER(SEARCH("ks",G180)),IF(O180="No","Program, also at Key Service: not counted","Counts in Key Service gauge + sets Program chip"),IF(O180="No","Program: shown, no status chip","Sets Program status chip")),IF(IF(D180&lt;&gt;"",D180,IFERROR(INDEX('Dashboard Items'!$B$2:$B$495,MATCH(E180,'Dashboard Items'!$A$2:$A$495,0)),""))="Work System","Work System: shown, not counted","Check Level"))))</f>
        <v/>
      </c>
    </row>
    <row r="181" ht="15" customHeight="1" s="210">
      <c r="B181" s="393" t="n"/>
      <c r="C181" s="393" t="n"/>
      <c r="D181" s="393" t="n"/>
      <c r="E181" s="393" t="n"/>
      <c r="F181" s="394">
        <f>IF(E181="","",IFERROR(IF(INDEX('Dashboard Items'!$B$2:$B$495,MATCH(E181,'Dashboard Items'!$A$2:$A$495,0))="Objective","Objectives go in the next column",IF(OR(D181="",INDEX('Dashboard Items'!$B$2:$B$495,MATCH(E181,'Dashboard Items'!$A$2:$A$495,0))=D181),INDEX('Dashboard Items'!$C$2:$C$495,MATCH(E181,'Dashboard Items'!$A$2:$A$495,0)),"Level does not match ID")),"ID not found"))</f>
        <v/>
      </c>
      <c r="G181" s="395" t="n"/>
      <c r="H181" s="394">
        <f>IF(G181="","",IF(ISNUMBER(SEARCH(",",G181)),"Several items (the script lists them)",IFERROR(INDEX('Dashboard Items'!$B$2:$B$495,MATCH(G181,'Dashboard Items'!$A$2:$A$495,0))&amp;": "&amp;INDEX('Dashboard Items'!$C$2:$C$495,MATCH(G181,'Dashboard Items'!$A$2:$A$495,0)),"ID not found")))</f>
        <v/>
      </c>
      <c r="I181" s="393" t="n"/>
      <c r="J181" s="393" t="n"/>
      <c r="K181" s="393" t="n"/>
      <c r="L181" s="393" t="n"/>
      <c r="M181" s="393" t="n"/>
      <c r="N181" s="393" t="n"/>
      <c r="O181" s="393" t="n"/>
      <c r="P181" s="393" t="n"/>
      <c r="Q181" s="393" t="n"/>
      <c r="R181" s="393" t="n"/>
      <c r="S181" s="393" t="n"/>
      <c r="T181" s="393" t="n"/>
      <c r="U181" s="355">
        <f>IF(B181="","",IF(IF(D181&lt;&gt;"",D181,IFERROR(INDEX('Dashboard Items'!$B$2:$B$495,MATCH(E181,'Dashboard Items'!$A$2:$A$495,0)),""))="Key Service",IF(O181="No","Key Service: shown, not counted","Counts in Key Service gauge"),IF(IF(D181&lt;&gt;"",D181,IFERROR(INDEX('Dashboard Items'!$B$2:$B$495,MATCH(E181,'Dashboard Items'!$A$2:$A$495,0)),""))="Program",IF(ISNUMBER(SEARCH("ks",G181)),IF(O181="No","Program, also at Key Service: not counted","Counts in Key Service gauge + sets Program chip"),IF(O181="No","Program: shown, no status chip","Sets Program status chip")),IF(IF(D181&lt;&gt;"",D181,IFERROR(INDEX('Dashboard Items'!$B$2:$B$495,MATCH(E181,'Dashboard Items'!$A$2:$A$495,0)),""))="Work System","Work System: shown, not counted","Check Level"))))</f>
        <v/>
      </c>
    </row>
    <row r="182" ht="15" customHeight="1" s="210">
      <c r="B182" s="393" t="n"/>
      <c r="C182" s="393" t="n"/>
      <c r="D182" s="393" t="n"/>
      <c r="E182" s="393" t="n"/>
      <c r="F182" s="394">
        <f>IF(E182="","",IFERROR(IF(INDEX('Dashboard Items'!$B$2:$B$495,MATCH(E182,'Dashboard Items'!$A$2:$A$495,0))="Objective","Objectives go in the next column",IF(OR(D182="",INDEX('Dashboard Items'!$B$2:$B$495,MATCH(E182,'Dashboard Items'!$A$2:$A$495,0))=D182),INDEX('Dashboard Items'!$C$2:$C$495,MATCH(E182,'Dashboard Items'!$A$2:$A$495,0)),"Level does not match ID")),"ID not found"))</f>
        <v/>
      </c>
      <c r="G182" s="395" t="n"/>
      <c r="H182" s="394">
        <f>IF(G182="","",IF(ISNUMBER(SEARCH(",",G182)),"Several items (the script lists them)",IFERROR(INDEX('Dashboard Items'!$B$2:$B$495,MATCH(G182,'Dashboard Items'!$A$2:$A$495,0))&amp;": "&amp;INDEX('Dashboard Items'!$C$2:$C$495,MATCH(G182,'Dashboard Items'!$A$2:$A$495,0)),"ID not found")))</f>
        <v/>
      </c>
      <c r="I182" s="393" t="n"/>
      <c r="J182" s="393" t="n"/>
      <c r="K182" s="393" t="n"/>
      <c r="L182" s="393" t="n"/>
      <c r="M182" s="393" t="n"/>
      <c r="N182" s="393" t="n"/>
      <c r="O182" s="393" t="n"/>
      <c r="P182" s="393" t="n"/>
      <c r="Q182" s="393" t="n"/>
      <c r="R182" s="393" t="n"/>
      <c r="S182" s="393" t="n"/>
      <c r="T182" s="393" t="n"/>
      <c r="U182" s="355">
        <f>IF(B182="","",IF(IF(D182&lt;&gt;"",D182,IFERROR(INDEX('Dashboard Items'!$B$2:$B$495,MATCH(E182,'Dashboard Items'!$A$2:$A$495,0)),""))="Key Service",IF(O182="No","Key Service: shown, not counted","Counts in Key Service gauge"),IF(IF(D182&lt;&gt;"",D182,IFERROR(INDEX('Dashboard Items'!$B$2:$B$495,MATCH(E182,'Dashboard Items'!$A$2:$A$495,0)),""))="Program",IF(ISNUMBER(SEARCH("ks",G182)),IF(O182="No","Program, also at Key Service: not counted","Counts in Key Service gauge + sets Program chip"),IF(O182="No","Program: shown, no status chip","Sets Program status chip")),IF(IF(D182&lt;&gt;"",D182,IFERROR(INDEX('Dashboard Items'!$B$2:$B$495,MATCH(E182,'Dashboard Items'!$A$2:$A$495,0)),""))="Work System","Work System: shown, not counted","Check Level"))))</f>
        <v/>
      </c>
    </row>
    <row r="183" ht="15" customHeight="1" s="210">
      <c r="B183" s="393" t="n"/>
      <c r="C183" s="393" t="n"/>
      <c r="D183" s="393" t="n"/>
      <c r="E183" s="393" t="n"/>
      <c r="F183" s="394">
        <f>IF(E183="","",IFERROR(IF(INDEX('Dashboard Items'!$B$2:$B$495,MATCH(E183,'Dashboard Items'!$A$2:$A$495,0))="Objective","Objectives go in the next column",IF(OR(D183="",INDEX('Dashboard Items'!$B$2:$B$495,MATCH(E183,'Dashboard Items'!$A$2:$A$495,0))=D183),INDEX('Dashboard Items'!$C$2:$C$495,MATCH(E183,'Dashboard Items'!$A$2:$A$495,0)),"Level does not match ID")),"ID not found"))</f>
        <v/>
      </c>
      <c r="G183" s="395" t="n"/>
      <c r="H183" s="394">
        <f>IF(G183="","",IF(ISNUMBER(SEARCH(",",G183)),"Several items (the script lists them)",IFERROR(INDEX('Dashboard Items'!$B$2:$B$495,MATCH(G183,'Dashboard Items'!$A$2:$A$495,0))&amp;": "&amp;INDEX('Dashboard Items'!$C$2:$C$495,MATCH(G183,'Dashboard Items'!$A$2:$A$495,0)),"ID not found")))</f>
        <v/>
      </c>
      <c r="I183" s="393" t="n"/>
      <c r="J183" s="393" t="n"/>
      <c r="K183" s="393" t="n"/>
      <c r="L183" s="393" t="n"/>
      <c r="M183" s="393" t="n"/>
      <c r="N183" s="393" t="n"/>
      <c r="O183" s="393" t="n"/>
      <c r="P183" s="393" t="n"/>
      <c r="Q183" s="393" t="n"/>
      <c r="R183" s="393" t="n"/>
      <c r="S183" s="393" t="n"/>
      <c r="T183" s="393" t="n"/>
      <c r="U183" s="355">
        <f>IF(B183="","",IF(IF(D183&lt;&gt;"",D183,IFERROR(INDEX('Dashboard Items'!$B$2:$B$495,MATCH(E183,'Dashboard Items'!$A$2:$A$495,0)),""))="Key Service",IF(O183="No","Key Service: shown, not counted","Counts in Key Service gauge"),IF(IF(D183&lt;&gt;"",D183,IFERROR(INDEX('Dashboard Items'!$B$2:$B$495,MATCH(E183,'Dashboard Items'!$A$2:$A$495,0)),""))="Program",IF(ISNUMBER(SEARCH("ks",G183)),IF(O183="No","Program, also at Key Service: not counted","Counts in Key Service gauge + sets Program chip"),IF(O183="No","Program: shown, no status chip","Sets Program status chip")),IF(IF(D183&lt;&gt;"",D183,IFERROR(INDEX('Dashboard Items'!$B$2:$B$495,MATCH(E183,'Dashboard Items'!$A$2:$A$495,0)),""))="Work System","Work System: shown, not counted","Check Level"))))</f>
        <v/>
      </c>
    </row>
    <row r="184" ht="15" customHeight="1" s="210">
      <c r="B184" s="393" t="n"/>
      <c r="C184" s="393" t="n"/>
      <c r="D184" s="393" t="n"/>
      <c r="E184" s="393" t="n"/>
      <c r="F184" s="394">
        <f>IF(E184="","",IFERROR(IF(INDEX('Dashboard Items'!$B$2:$B$495,MATCH(E184,'Dashboard Items'!$A$2:$A$495,0))="Objective","Objectives go in the next column",IF(OR(D184="",INDEX('Dashboard Items'!$B$2:$B$495,MATCH(E184,'Dashboard Items'!$A$2:$A$495,0))=D184),INDEX('Dashboard Items'!$C$2:$C$495,MATCH(E184,'Dashboard Items'!$A$2:$A$495,0)),"Level does not match ID")),"ID not found"))</f>
        <v/>
      </c>
      <c r="G184" s="395" t="n"/>
      <c r="H184" s="394">
        <f>IF(G184="","",IF(ISNUMBER(SEARCH(",",G184)),"Several items (the script lists them)",IFERROR(INDEX('Dashboard Items'!$B$2:$B$495,MATCH(G184,'Dashboard Items'!$A$2:$A$495,0))&amp;": "&amp;INDEX('Dashboard Items'!$C$2:$C$495,MATCH(G184,'Dashboard Items'!$A$2:$A$495,0)),"ID not found")))</f>
        <v/>
      </c>
      <c r="I184" s="393" t="n"/>
      <c r="J184" s="393" t="n"/>
      <c r="K184" s="393" t="n"/>
      <c r="L184" s="393" t="n"/>
      <c r="M184" s="393" t="n"/>
      <c r="N184" s="393" t="n"/>
      <c r="O184" s="393" t="n"/>
      <c r="P184" s="393" t="n"/>
      <c r="Q184" s="393" t="n"/>
      <c r="R184" s="393" t="n"/>
      <c r="S184" s="393" t="n"/>
      <c r="T184" s="393" t="n"/>
      <c r="U184" s="355">
        <f>IF(B184="","",IF(IF(D184&lt;&gt;"",D184,IFERROR(INDEX('Dashboard Items'!$B$2:$B$495,MATCH(E184,'Dashboard Items'!$A$2:$A$495,0)),""))="Key Service",IF(O184="No","Key Service: shown, not counted","Counts in Key Service gauge"),IF(IF(D184&lt;&gt;"",D184,IFERROR(INDEX('Dashboard Items'!$B$2:$B$495,MATCH(E184,'Dashboard Items'!$A$2:$A$495,0)),""))="Program",IF(ISNUMBER(SEARCH("ks",G184)),IF(O184="No","Program, also at Key Service: not counted","Counts in Key Service gauge + sets Program chip"),IF(O184="No","Program: shown, no status chip","Sets Program status chip")),IF(IF(D184&lt;&gt;"",D184,IFERROR(INDEX('Dashboard Items'!$B$2:$B$495,MATCH(E184,'Dashboard Items'!$A$2:$A$495,0)),""))="Work System","Work System: shown, not counted","Check Level"))))</f>
        <v/>
      </c>
    </row>
    <row r="185" ht="15" customHeight="1" s="210">
      <c r="B185" s="393" t="n"/>
      <c r="C185" s="393" t="n"/>
      <c r="D185" s="393" t="n"/>
      <c r="E185" s="393" t="n"/>
      <c r="F185" s="394">
        <f>IF(E185="","",IFERROR(IF(INDEX('Dashboard Items'!$B$2:$B$495,MATCH(E185,'Dashboard Items'!$A$2:$A$495,0))="Objective","Objectives go in the next column",IF(OR(D185="",INDEX('Dashboard Items'!$B$2:$B$495,MATCH(E185,'Dashboard Items'!$A$2:$A$495,0))=D185),INDEX('Dashboard Items'!$C$2:$C$495,MATCH(E185,'Dashboard Items'!$A$2:$A$495,0)),"Level does not match ID")),"ID not found"))</f>
        <v/>
      </c>
      <c r="G185" s="395" t="n"/>
      <c r="H185" s="394">
        <f>IF(G185="","",IF(ISNUMBER(SEARCH(",",G185)),"Several items (the script lists them)",IFERROR(INDEX('Dashboard Items'!$B$2:$B$495,MATCH(G185,'Dashboard Items'!$A$2:$A$495,0))&amp;": "&amp;INDEX('Dashboard Items'!$C$2:$C$495,MATCH(G185,'Dashboard Items'!$A$2:$A$495,0)),"ID not found")))</f>
        <v/>
      </c>
      <c r="I185" s="393" t="n"/>
      <c r="J185" s="393" t="n"/>
      <c r="K185" s="393" t="n"/>
      <c r="L185" s="393" t="n"/>
      <c r="M185" s="393" t="n"/>
      <c r="N185" s="393" t="n"/>
      <c r="O185" s="393" t="n"/>
      <c r="P185" s="393" t="n"/>
      <c r="Q185" s="393" t="n"/>
      <c r="R185" s="393" t="n"/>
      <c r="S185" s="393" t="n"/>
      <c r="T185" s="393" t="n"/>
      <c r="U185" s="355">
        <f>IF(B185="","",IF(IF(D185&lt;&gt;"",D185,IFERROR(INDEX('Dashboard Items'!$B$2:$B$495,MATCH(E185,'Dashboard Items'!$A$2:$A$495,0)),""))="Key Service",IF(O185="No","Key Service: shown, not counted","Counts in Key Service gauge"),IF(IF(D185&lt;&gt;"",D185,IFERROR(INDEX('Dashboard Items'!$B$2:$B$495,MATCH(E185,'Dashboard Items'!$A$2:$A$495,0)),""))="Program",IF(ISNUMBER(SEARCH("ks",G185)),IF(O185="No","Program, also at Key Service: not counted","Counts in Key Service gauge + sets Program chip"),IF(O185="No","Program: shown, no status chip","Sets Program status chip")),IF(IF(D185&lt;&gt;"",D185,IFERROR(INDEX('Dashboard Items'!$B$2:$B$495,MATCH(E185,'Dashboard Items'!$A$2:$A$495,0)),""))="Work System","Work System: shown, not counted","Check Level"))))</f>
        <v/>
      </c>
    </row>
    <row r="186" ht="15" customHeight="1" s="210">
      <c r="B186" s="393" t="n"/>
      <c r="C186" s="393" t="n"/>
      <c r="D186" s="393" t="n"/>
      <c r="E186" s="393" t="n"/>
      <c r="F186" s="394">
        <f>IF(E186="","",IFERROR(IF(INDEX('Dashboard Items'!$B$2:$B$495,MATCH(E186,'Dashboard Items'!$A$2:$A$495,0))="Objective","Objectives go in the next column",IF(OR(D186="",INDEX('Dashboard Items'!$B$2:$B$495,MATCH(E186,'Dashboard Items'!$A$2:$A$495,0))=D186),INDEX('Dashboard Items'!$C$2:$C$495,MATCH(E186,'Dashboard Items'!$A$2:$A$495,0)),"Level does not match ID")),"ID not found"))</f>
        <v/>
      </c>
      <c r="G186" s="395" t="n"/>
      <c r="H186" s="394">
        <f>IF(G186="","",IF(ISNUMBER(SEARCH(",",G186)),"Several items (the script lists them)",IFERROR(INDEX('Dashboard Items'!$B$2:$B$495,MATCH(G186,'Dashboard Items'!$A$2:$A$495,0))&amp;": "&amp;INDEX('Dashboard Items'!$C$2:$C$495,MATCH(G186,'Dashboard Items'!$A$2:$A$495,0)),"ID not found")))</f>
        <v/>
      </c>
      <c r="I186" s="393" t="n"/>
      <c r="J186" s="393" t="n"/>
      <c r="K186" s="393" t="n"/>
      <c r="L186" s="393" t="n"/>
      <c r="M186" s="393" t="n"/>
      <c r="N186" s="393" t="n"/>
      <c r="O186" s="393" t="n"/>
      <c r="P186" s="393" t="n"/>
      <c r="Q186" s="393" t="n"/>
      <c r="R186" s="393" t="n"/>
      <c r="S186" s="393" t="n"/>
      <c r="T186" s="393" t="n"/>
      <c r="U186" s="355">
        <f>IF(B186="","",IF(IF(D186&lt;&gt;"",D186,IFERROR(INDEX('Dashboard Items'!$B$2:$B$495,MATCH(E186,'Dashboard Items'!$A$2:$A$495,0)),""))="Key Service",IF(O186="No","Key Service: shown, not counted","Counts in Key Service gauge"),IF(IF(D186&lt;&gt;"",D186,IFERROR(INDEX('Dashboard Items'!$B$2:$B$495,MATCH(E186,'Dashboard Items'!$A$2:$A$495,0)),""))="Program",IF(ISNUMBER(SEARCH("ks",G186)),IF(O186="No","Program, also at Key Service: not counted","Counts in Key Service gauge + sets Program chip"),IF(O186="No","Program: shown, no status chip","Sets Program status chip")),IF(IF(D186&lt;&gt;"",D186,IFERROR(INDEX('Dashboard Items'!$B$2:$B$495,MATCH(E186,'Dashboard Items'!$A$2:$A$495,0)),""))="Work System","Work System: shown, not counted","Check Level"))))</f>
        <v/>
      </c>
    </row>
    <row r="187" ht="15" customHeight="1" s="210">
      <c r="B187" s="393" t="n"/>
      <c r="C187" s="393" t="n"/>
      <c r="D187" s="393" t="n"/>
      <c r="E187" s="393" t="n"/>
      <c r="F187" s="394">
        <f>IF(E187="","",IFERROR(IF(INDEX('Dashboard Items'!$B$2:$B$495,MATCH(E187,'Dashboard Items'!$A$2:$A$495,0))="Objective","Objectives go in the next column",IF(OR(D187="",INDEX('Dashboard Items'!$B$2:$B$495,MATCH(E187,'Dashboard Items'!$A$2:$A$495,0))=D187),INDEX('Dashboard Items'!$C$2:$C$495,MATCH(E187,'Dashboard Items'!$A$2:$A$495,0)),"Level does not match ID")),"ID not found"))</f>
        <v/>
      </c>
      <c r="G187" s="395" t="n"/>
      <c r="H187" s="394">
        <f>IF(G187="","",IF(ISNUMBER(SEARCH(",",G187)),"Several items (the script lists them)",IFERROR(INDEX('Dashboard Items'!$B$2:$B$495,MATCH(G187,'Dashboard Items'!$A$2:$A$495,0))&amp;": "&amp;INDEX('Dashboard Items'!$C$2:$C$495,MATCH(G187,'Dashboard Items'!$A$2:$A$495,0)),"ID not found")))</f>
        <v/>
      </c>
      <c r="I187" s="393" t="n"/>
      <c r="J187" s="393" t="n"/>
      <c r="K187" s="393" t="n"/>
      <c r="L187" s="393" t="n"/>
      <c r="M187" s="393" t="n"/>
      <c r="N187" s="393" t="n"/>
      <c r="O187" s="393" t="n"/>
      <c r="P187" s="393" t="n"/>
      <c r="Q187" s="393" t="n"/>
      <c r="R187" s="393" t="n"/>
      <c r="S187" s="393" t="n"/>
      <c r="T187" s="393" t="n"/>
      <c r="U187" s="355">
        <f>IF(B187="","",IF(IF(D187&lt;&gt;"",D187,IFERROR(INDEX('Dashboard Items'!$B$2:$B$495,MATCH(E187,'Dashboard Items'!$A$2:$A$495,0)),""))="Key Service",IF(O187="No","Key Service: shown, not counted","Counts in Key Service gauge"),IF(IF(D187&lt;&gt;"",D187,IFERROR(INDEX('Dashboard Items'!$B$2:$B$495,MATCH(E187,'Dashboard Items'!$A$2:$A$495,0)),""))="Program",IF(ISNUMBER(SEARCH("ks",G187)),IF(O187="No","Program, also at Key Service: not counted","Counts in Key Service gauge + sets Program chip"),IF(O187="No","Program: shown, no status chip","Sets Program status chip")),IF(IF(D187&lt;&gt;"",D187,IFERROR(INDEX('Dashboard Items'!$B$2:$B$495,MATCH(E187,'Dashboard Items'!$A$2:$A$495,0)),""))="Work System","Work System: shown, not counted","Check Level"))))</f>
        <v/>
      </c>
    </row>
    <row r="188" ht="15" customHeight="1" s="210">
      <c r="B188" s="393" t="n"/>
      <c r="C188" s="393" t="n"/>
      <c r="D188" s="393" t="n"/>
      <c r="E188" s="393" t="n"/>
      <c r="F188" s="394">
        <f>IF(E188="","",IFERROR(IF(INDEX('Dashboard Items'!$B$2:$B$495,MATCH(E188,'Dashboard Items'!$A$2:$A$495,0))="Objective","Objectives go in the next column",IF(OR(D188="",INDEX('Dashboard Items'!$B$2:$B$495,MATCH(E188,'Dashboard Items'!$A$2:$A$495,0))=D188),INDEX('Dashboard Items'!$C$2:$C$495,MATCH(E188,'Dashboard Items'!$A$2:$A$495,0)),"Level does not match ID")),"ID not found"))</f>
        <v/>
      </c>
      <c r="G188" s="395" t="n"/>
      <c r="H188" s="394">
        <f>IF(G188="","",IF(ISNUMBER(SEARCH(",",G188)),"Several items (the script lists them)",IFERROR(INDEX('Dashboard Items'!$B$2:$B$495,MATCH(G188,'Dashboard Items'!$A$2:$A$495,0))&amp;": "&amp;INDEX('Dashboard Items'!$C$2:$C$495,MATCH(G188,'Dashboard Items'!$A$2:$A$495,0)),"ID not found")))</f>
        <v/>
      </c>
      <c r="I188" s="393" t="n"/>
      <c r="J188" s="393" t="n"/>
      <c r="K188" s="393" t="n"/>
      <c r="L188" s="393" t="n"/>
      <c r="M188" s="393" t="n"/>
      <c r="N188" s="393" t="n"/>
      <c r="O188" s="393" t="n"/>
      <c r="P188" s="393" t="n"/>
      <c r="Q188" s="393" t="n"/>
      <c r="R188" s="393" t="n"/>
      <c r="S188" s="393" t="n"/>
      <c r="T188" s="393" t="n"/>
      <c r="U188" s="355">
        <f>IF(B188="","",IF(IF(D188&lt;&gt;"",D188,IFERROR(INDEX('Dashboard Items'!$B$2:$B$495,MATCH(E188,'Dashboard Items'!$A$2:$A$495,0)),""))="Key Service",IF(O188="No","Key Service: shown, not counted","Counts in Key Service gauge"),IF(IF(D188&lt;&gt;"",D188,IFERROR(INDEX('Dashboard Items'!$B$2:$B$495,MATCH(E188,'Dashboard Items'!$A$2:$A$495,0)),""))="Program",IF(ISNUMBER(SEARCH("ks",G188)),IF(O188="No","Program, also at Key Service: not counted","Counts in Key Service gauge + sets Program chip"),IF(O188="No","Program: shown, no status chip","Sets Program status chip")),IF(IF(D188&lt;&gt;"",D188,IFERROR(INDEX('Dashboard Items'!$B$2:$B$495,MATCH(E188,'Dashboard Items'!$A$2:$A$495,0)),""))="Work System","Work System: shown, not counted","Check Level"))))</f>
        <v/>
      </c>
    </row>
    <row r="189" ht="15" customHeight="1" s="210">
      <c r="B189" s="393" t="n"/>
      <c r="C189" s="393" t="n"/>
      <c r="D189" s="393" t="n"/>
      <c r="E189" s="393" t="n"/>
      <c r="F189" s="394">
        <f>IF(E189="","",IFERROR(IF(INDEX('Dashboard Items'!$B$2:$B$495,MATCH(E189,'Dashboard Items'!$A$2:$A$495,0))="Objective","Objectives go in the next column",IF(OR(D189="",INDEX('Dashboard Items'!$B$2:$B$495,MATCH(E189,'Dashboard Items'!$A$2:$A$495,0))=D189),INDEX('Dashboard Items'!$C$2:$C$495,MATCH(E189,'Dashboard Items'!$A$2:$A$495,0)),"Level does not match ID")),"ID not found"))</f>
        <v/>
      </c>
      <c r="G189" s="395" t="n"/>
      <c r="H189" s="394">
        <f>IF(G189="","",IF(ISNUMBER(SEARCH(",",G189)),"Several items (the script lists them)",IFERROR(INDEX('Dashboard Items'!$B$2:$B$495,MATCH(G189,'Dashboard Items'!$A$2:$A$495,0))&amp;": "&amp;INDEX('Dashboard Items'!$C$2:$C$495,MATCH(G189,'Dashboard Items'!$A$2:$A$495,0)),"ID not found")))</f>
        <v/>
      </c>
      <c r="I189" s="393" t="n"/>
      <c r="J189" s="393" t="n"/>
      <c r="K189" s="393" t="n"/>
      <c r="L189" s="393" t="n"/>
      <c r="M189" s="393" t="n"/>
      <c r="N189" s="393" t="n"/>
      <c r="O189" s="393" t="n"/>
      <c r="P189" s="393" t="n"/>
      <c r="Q189" s="393" t="n"/>
      <c r="R189" s="393" t="n"/>
      <c r="S189" s="393" t="n"/>
      <c r="T189" s="393" t="n"/>
      <c r="U189" s="355">
        <f>IF(B189="","",IF(IF(D189&lt;&gt;"",D189,IFERROR(INDEX('Dashboard Items'!$B$2:$B$495,MATCH(E189,'Dashboard Items'!$A$2:$A$495,0)),""))="Key Service",IF(O189="No","Key Service: shown, not counted","Counts in Key Service gauge"),IF(IF(D189&lt;&gt;"",D189,IFERROR(INDEX('Dashboard Items'!$B$2:$B$495,MATCH(E189,'Dashboard Items'!$A$2:$A$495,0)),""))="Program",IF(ISNUMBER(SEARCH("ks",G189)),IF(O189="No","Program, also at Key Service: not counted","Counts in Key Service gauge + sets Program chip"),IF(O189="No","Program: shown, no status chip","Sets Program status chip")),IF(IF(D189&lt;&gt;"",D189,IFERROR(INDEX('Dashboard Items'!$B$2:$B$495,MATCH(E189,'Dashboard Items'!$A$2:$A$495,0)),""))="Work System","Work System: shown, not counted","Check Level"))))</f>
        <v/>
      </c>
    </row>
    <row r="190" ht="15" customHeight="1" s="210">
      <c r="B190" s="393" t="n"/>
      <c r="C190" s="393" t="n"/>
      <c r="D190" s="393" t="n"/>
      <c r="E190" s="393" t="n"/>
      <c r="F190" s="394">
        <f>IF(E190="","",IFERROR(IF(INDEX('Dashboard Items'!$B$2:$B$495,MATCH(E190,'Dashboard Items'!$A$2:$A$495,0))="Objective","Objectives go in the next column",IF(OR(D190="",INDEX('Dashboard Items'!$B$2:$B$495,MATCH(E190,'Dashboard Items'!$A$2:$A$495,0))=D190),INDEX('Dashboard Items'!$C$2:$C$495,MATCH(E190,'Dashboard Items'!$A$2:$A$495,0)),"Level does not match ID")),"ID not found"))</f>
        <v/>
      </c>
      <c r="G190" s="395" t="n"/>
      <c r="H190" s="394">
        <f>IF(G190="","",IF(ISNUMBER(SEARCH(",",G190)),"Several items (the script lists them)",IFERROR(INDEX('Dashboard Items'!$B$2:$B$495,MATCH(G190,'Dashboard Items'!$A$2:$A$495,0))&amp;": "&amp;INDEX('Dashboard Items'!$C$2:$C$495,MATCH(G190,'Dashboard Items'!$A$2:$A$495,0)),"ID not found")))</f>
        <v/>
      </c>
      <c r="I190" s="393" t="n"/>
      <c r="J190" s="393" t="n"/>
      <c r="K190" s="393" t="n"/>
      <c r="L190" s="393" t="n"/>
      <c r="M190" s="393" t="n"/>
      <c r="N190" s="393" t="n"/>
      <c r="O190" s="393" t="n"/>
      <c r="P190" s="393" t="n"/>
      <c r="Q190" s="393" t="n"/>
      <c r="R190" s="393" t="n"/>
      <c r="S190" s="393" t="n"/>
      <c r="T190" s="393" t="n"/>
      <c r="U190" s="355">
        <f>IF(B190="","",IF(IF(D190&lt;&gt;"",D190,IFERROR(INDEX('Dashboard Items'!$B$2:$B$495,MATCH(E190,'Dashboard Items'!$A$2:$A$495,0)),""))="Key Service",IF(O190="No","Key Service: shown, not counted","Counts in Key Service gauge"),IF(IF(D190&lt;&gt;"",D190,IFERROR(INDEX('Dashboard Items'!$B$2:$B$495,MATCH(E190,'Dashboard Items'!$A$2:$A$495,0)),""))="Program",IF(ISNUMBER(SEARCH("ks",G190)),IF(O190="No","Program, also at Key Service: not counted","Counts in Key Service gauge + sets Program chip"),IF(O190="No","Program: shown, no status chip","Sets Program status chip")),IF(IF(D190&lt;&gt;"",D190,IFERROR(INDEX('Dashboard Items'!$B$2:$B$495,MATCH(E190,'Dashboard Items'!$A$2:$A$495,0)),""))="Work System","Work System: shown, not counted","Check Level"))))</f>
        <v/>
      </c>
    </row>
    <row r="191" ht="15" customHeight="1" s="210">
      <c r="B191" s="393" t="n"/>
      <c r="C191" s="393" t="n"/>
      <c r="D191" s="393" t="n"/>
      <c r="E191" s="393" t="n"/>
      <c r="F191" s="394">
        <f>IF(E191="","",IFERROR(IF(INDEX('Dashboard Items'!$B$2:$B$495,MATCH(E191,'Dashboard Items'!$A$2:$A$495,0))="Objective","Objectives go in the next column",IF(OR(D191="",INDEX('Dashboard Items'!$B$2:$B$495,MATCH(E191,'Dashboard Items'!$A$2:$A$495,0))=D191),INDEX('Dashboard Items'!$C$2:$C$495,MATCH(E191,'Dashboard Items'!$A$2:$A$495,0)),"Level does not match ID")),"ID not found"))</f>
        <v/>
      </c>
      <c r="G191" s="395" t="n"/>
      <c r="H191" s="394">
        <f>IF(G191="","",IF(ISNUMBER(SEARCH(",",G191)),"Several items (the script lists them)",IFERROR(INDEX('Dashboard Items'!$B$2:$B$495,MATCH(G191,'Dashboard Items'!$A$2:$A$495,0))&amp;": "&amp;INDEX('Dashboard Items'!$C$2:$C$495,MATCH(G191,'Dashboard Items'!$A$2:$A$495,0)),"ID not found")))</f>
        <v/>
      </c>
      <c r="I191" s="393" t="n"/>
      <c r="J191" s="393" t="n"/>
      <c r="K191" s="393" t="n"/>
      <c r="L191" s="393" t="n"/>
      <c r="M191" s="393" t="n"/>
      <c r="N191" s="393" t="n"/>
      <c r="O191" s="393" t="n"/>
      <c r="P191" s="393" t="n"/>
      <c r="Q191" s="393" t="n"/>
      <c r="R191" s="393" t="n"/>
      <c r="S191" s="393" t="n"/>
      <c r="T191" s="393" t="n"/>
      <c r="U191" s="355">
        <f>IF(B191="","",IF(IF(D191&lt;&gt;"",D191,IFERROR(INDEX('Dashboard Items'!$B$2:$B$495,MATCH(E191,'Dashboard Items'!$A$2:$A$495,0)),""))="Key Service",IF(O191="No","Key Service: shown, not counted","Counts in Key Service gauge"),IF(IF(D191&lt;&gt;"",D191,IFERROR(INDEX('Dashboard Items'!$B$2:$B$495,MATCH(E191,'Dashboard Items'!$A$2:$A$495,0)),""))="Program",IF(ISNUMBER(SEARCH("ks",G191)),IF(O191="No","Program, also at Key Service: not counted","Counts in Key Service gauge + sets Program chip"),IF(O191="No","Program: shown, no status chip","Sets Program status chip")),IF(IF(D191&lt;&gt;"",D191,IFERROR(INDEX('Dashboard Items'!$B$2:$B$495,MATCH(E191,'Dashboard Items'!$A$2:$A$495,0)),""))="Work System","Work System: shown, not counted","Check Level"))))</f>
        <v/>
      </c>
    </row>
    <row r="192" ht="15" customHeight="1" s="210">
      <c r="B192" s="393" t="n"/>
      <c r="C192" s="393" t="n"/>
      <c r="D192" s="393" t="n"/>
      <c r="E192" s="393" t="n"/>
      <c r="F192" s="394">
        <f>IF(E192="","",IFERROR(IF(INDEX('Dashboard Items'!$B$2:$B$495,MATCH(E192,'Dashboard Items'!$A$2:$A$495,0))="Objective","Objectives go in the next column",IF(OR(D192="",INDEX('Dashboard Items'!$B$2:$B$495,MATCH(E192,'Dashboard Items'!$A$2:$A$495,0))=D192),INDEX('Dashboard Items'!$C$2:$C$495,MATCH(E192,'Dashboard Items'!$A$2:$A$495,0)),"Level does not match ID")),"ID not found"))</f>
        <v/>
      </c>
      <c r="G192" s="395" t="n"/>
      <c r="H192" s="394">
        <f>IF(G192="","",IF(ISNUMBER(SEARCH(",",G192)),"Several items (the script lists them)",IFERROR(INDEX('Dashboard Items'!$B$2:$B$495,MATCH(G192,'Dashboard Items'!$A$2:$A$495,0))&amp;": "&amp;INDEX('Dashboard Items'!$C$2:$C$495,MATCH(G192,'Dashboard Items'!$A$2:$A$495,0)),"ID not found")))</f>
        <v/>
      </c>
      <c r="I192" s="393" t="n"/>
      <c r="J192" s="393" t="n"/>
      <c r="K192" s="393" t="n"/>
      <c r="L192" s="393" t="n"/>
      <c r="M192" s="393" t="n"/>
      <c r="N192" s="393" t="n"/>
      <c r="O192" s="393" t="n"/>
      <c r="P192" s="393" t="n"/>
      <c r="Q192" s="393" t="n"/>
      <c r="R192" s="393" t="n"/>
      <c r="S192" s="393" t="n"/>
      <c r="T192" s="393" t="n"/>
      <c r="U192" s="355">
        <f>IF(B192="","",IF(IF(D192&lt;&gt;"",D192,IFERROR(INDEX('Dashboard Items'!$B$2:$B$495,MATCH(E192,'Dashboard Items'!$A$2:$A$495,0)),""))="Key Service",IF(O192="No","Key Service: shown, not counted","Counts in Key Service gauge"),IF(IF(D192&lt;&gt;"",D192,IFERROR(INDEX('Dashboard Items'!$B$2:$B$495,MATCH(E192,'Dashboard Items'!$A$2:$A$495,0)),""))="Program",IF(ISNUMBER(SEARCH("ks",G192)),IF(O192="No","Program, also at Key Service: not counted","Counts in Key Service gauge + sets Program chip"),IF(O192="No","Program: shown, no status chip","Sets Program status chip")),IF(IF(D192&lt;&gt;"",D192,IFERROR(INDEX('Dashboard Items'!$B$2:$B$495,MATCH(E192,'Dashboard Items'!$A$2:$A$495,0)),""))="Work System","Work System: shown, not counted","Check Level"))))</f>
        <v/>
      </c>
    </row>
    <row r="193" ht="15" customHeight="1" s="210">
      <c r="B193" s="393" t="n"/>
      <c r="C193" s="393" t="n"/>
      <c r="D193" s="393" t="n"/>
      <c r="E193" s="393" t="n"/>
      <c r="F193" s="394">
        <f>IF(E193="","",IFERROR(IF(INDEX('Dashboard Items'!$B$2:$B$495,MATCH(E193,'Dashboard Items'!$A$2:$A$495,0))="Objective","Objectives go in the next column",IF(OR(D193="",INDEX('Dashboard Items'!$B$2:$B$495,MATCH(E193,'Dashboard Items'!$A$2:$A$495,0))=D193),INDEX('Dashboard Items'!$C$2:$C$495,MATCH(E193,'Dashboard Items'!$A$2:$A$495,0)),"Level does not match ID")),"ID not found"))</f>
        <v/>
      </c>
      <c r="G193" s="395" t="n"/>
      <c r="H193" s="394">
        <f>IF(G193="","",IF(ISNUMBER(SEARCH(",",G193)),"Several items (the script lists them)",IFERROR(INDEX('Dashboard Items'!$B$2:$B$495,MATCH(G193,'Dashboard Items'!$A$2:$A$495,0))&amp;": "&amp;INDEX('Dashboard Items'!$C$2:$C$495,MATCH(G193,'Dashboard Items'!$A$2:$A$495,0)),"ID not found")))</f>
        <v/>
      </c>
      <c r="I193" s="393" t="n"/>
      <c r="J193" s="393" t="n"/>
      <c r="K193" s="393" t="n"/>
      <c r="L193" s="393" t="n"/>
      <c r="M193" s="393" t="n"/>
      <c r="N193" s="393" t="n"/>
      <c r="O193" s="393" t="n"/>
      <c r="P193" s="393" t="n"/>
      <c r="Q193" s="393" t="n"/>
      <c r="R193" s="393" t="n"/>
      <c r="S193" s="393" t="n"/>
      <c r="T193" s="393" t="n"/>
      <c r="U193" s="355">
        <f>IF(B193="","",IF(IF(D193&lt;&gt;"",D193,IFERROR(INDEX('Dashboard Items'!$B$2:$B$495,MATCH(E193,'Dashboard Items'!$A$2:$A$495,0)),""))="Key Service",IF(O193="No","Key Service: shown, not counted","Counts in Key Service gauge"),IF(IF(D193&lt;&gt;"",D193,IFERROR(INDEX('Dashboard Items'!$B$2:$B$495,MATCH(E193,'Dashboard Items'!$A$2:$A$495,0)),""))="Program",IF(ISNUMBER(SEARCH("ks",G193)),IF(O193="No","Program, also at Key Service: not counted","Counts in Key Service gauge + sets Program chip"),IF(O193="No","Program: shown, no status chip","Sets Program status chip")),IF(IF(D193&lt;&gt;"",D193,IFERROR(INDEX('Dashboard Items'!$B$2:$B$495,MATCH(E193,'Dashboard Items'!$A$2:$A$495,0)),""))="Work System","Work System: shown, not counted","Check Level"))))</f>
        <v/>
      </c>
    </row>
    <row r="194" ht="15" customHeight="1" s="210">
      <c r="B194" s="393" t="n"/>
      <c r="C194" s="393" t="n"/>
      <c r="D194" s="393" t="n"/>
      <c r="E194" s="393" t="n"/>
      <c r="F194" s="394">
        <f>IF(E194="","",IFERROR(IF(INDEX('Dashboard Items'!$B$2:$B$495,MATCH(E194,'Dashboard Items'!$A$2:$A$495,0))="Objective","Objectives go in the next column",IF(OR(D194="",INDEX('Dashboard Items'!$B$2:$B$495,MATCH(E194,'Dashboard Items'!$A$2:$A$495,0))=D194),INDEX('Dashboard Items'!$C$2:$C$495,MATCH(E194,'Dashboard Items'!$A$2:$A$495,0)),"Level does not match ID")),"ID not found"))</f>
        <v/>
      </c>
      <c r="G194" s="395" t="n"/>
      <c r="H194" s="394">
        <f>IF(G194="","",IF(ISNUMBER(SEARCH(",",G194)),"Several items (the script lists them)",IFERROR(INDEX('Dashboard Items'!$B$2:$B$495,MATCH(G194,'Dashboard Items'!$A$2:$A$495,0))&amp;": "&amp;INDEX('Dashboard Items'!$C$2:$C$495,MATCH(G194,'Dashboard Items'!$A$2:$A$495,0)),"ID not found")))</f>
        <v/>
      </c>
      <c r="I194" s="393" t="n"/>
      <c r="J194" s="393" t="n"/>
      <c r="K194" s="393" t="n"/>
      <c r="L194" s="393" t="n"/>
      <c r="M194" s="393" t="n"/>
      <c r="N194" s="393" t="n"/>
      <c r="O194" s="393" t="n"/>
      <c r="P194" s="393" t="n"/>
      <c r="Q194" s="393" t="n"/>
      <c r="R194" s="393" t="n"/>
      <c r="S194" s="393" t="n"/>
      <c r="T194" s="393" t="n"/>
      <c r="U194" s="355">
        <f>IF(B194="","",IF(IF(D194&lt;&gt;"",D194,IFERROR(INDEX('Dashboard Items'!$B$2:$B$495,MATCH(E194,'Dashboard Items'!$A$2:$A$495,0)),""))="Key Service",IF(O194="No","Key Service: shown, not counted","Counts in Key Service gauge"),IF(IF(D194&lt;&gt;"",D194,IFERROR(INDEX('Dashboard Items'!$B$2:$B$495,MATCH(E194,'Dashboard Items'!$A$2:$A$495,0)),""))="Program",IF(ISNUMBER(SEARCH("ks",G194)),IF(O194="No","Program, also at Key Service: not counted","Counts in Key Service gauge + sets Program chip"),IF(O194="No","Program: shown, no status chip","Sets Program status chip")),IF(IF(D194&lt;&gt;"",D194,IFERROR(INDEX('Dashboard Items'!$B$2:$B$495,MATCH(E194,'Dashboard Items'!$A$2:$A$495,0)),""))="Work System","Work System: shown, not counted","Check Level"))))</f>
        <v/>
      </c>
    </row>
    <row r="195" ht="15" customHeight="1" s="210">
      <c r="B195" s="393" t="n"/>
      <c r="C195" s="393" t="n"/>
      <c r="D195" s="393" t="n"/>
      <c r="E195" s="393" t="n"/>
      <c r="F195" s="394">
        <f>IF(E195="","",IFERROR(IF(INDEX('Dashboard Items'!$B$2:$B$495,MATCH(E195,'Dashboard Items'!$A$2:$A$495,0))="Objective","Objectives go in the next column",IF(OR(D195="",INDEX('Dashboard Items'!$B$2:$B$495,MATCH(E195,'Dashboard Items'!$A$2:$A$495,0))=D195),INDEX('Dashboard Items'!$C$2:$C$495,MATCH(E195,'Dashboard Items'!$A$2:$A$495,0)),"Level does not match ID")),"ID not found"))</f>
        <v/>
      </c>
      <c r="G195" s="395" t="n"/>
      <c r="H195" s="394">
        <f>IF(G195="","",IF(ISNUMBER(SEARCH(",",G195)),"Several items (the script lists them)",IFERROR(INDEX('Dashboard Items'!$B$2:$B$495,MATCH(G195,'Dashboard Items'!$A$2:$A$495,0))&amp;": "&amp;INDEX('Dashboard Items'!$C$2:$C$495,MATCH(G195,'Dashboard Items'!$A$2:$A$495,0)),"ID not found")))</f>
        <v/>
      </c>
      <c r="I195" s="393" t="n"/>
      <c r="J195" s="393" t="n"/>
      <c r="K195" s="393" t="n"/>
      <c r="L195" s="393" t="n"/>
      <c r="M195" s="393" t="n"/>
      <c r="N195" s="393" t="n"/>
      <c r="O195" s="393" t="n"/>
      <c r="P195" s="393" t="n"/>
      <c r="Q195" s="393" t="n"/>
      <c r="R195" s="393" t="n"/>
      <c r="S195" s="393" t="n"/>
      <c r="T195" s="393" t="n"/>
      <c r="U195" s="355">
        <f>IF(B195="","",IF(IF(D195&lt;&gt;"",D195,IFERROR(INDEX('Dashboard Items'!$B$2:$B$495,MATCH(E195,'Dashboard Items'!$A$2:$A$495,0)),""))="Key Service",IF(O195="No","Key Service: shown, not counted","Counts in Key Service gauge"),IF(IF(D195&lt;&gt;"",D195,IFERROR(INDEX('Dashboard Items'!$B$2:$B$495,MATCH(E195,'Dashboard Items'!$A$2:$A$495,0)),""))="Program",IF(ISNUMBER(SEARCH("ks",G195)),IF(O195="No","Program, also at Key Service: not counted","Counts in Key Service gauge + sets Program chip"),IF(O195="No","Program: shown, no status chip","Sets Program status chip")),IF(IF(D195&lt;&gt;"",D195,IFERROR(INDEX('Dashboard Items'!$B$2:$B$495,MATCH(E195,'Dashboard Items'!$A$2:$A$495,0)),""))="Work System","Work System: shown, not counted","Check Level"))))</f>
        <v/>
      </c>
    </row>
    <row r="196" ht="15" customHeight="1" s="210">
      <c r="B196" s="393" t="n"/>
      <c r="C196" s="393" t="n"/>
      <c r="D196" s="393" t="n"/>
      <c r="E196" s="393" t="n"/>
      <c r="F196" s="394">
        <f>IF(E196="","",IFERROR(IF(INDEX('Dashboard Items'!$B$2:$B$495,MATCH(E196,'Dashboard Items'!$A$2:$A$495,0))="Objective","Objectives go in the next column",IF(OR(D196="",INDEX('Dashboard Items'!$B$2:$B$495,MATCH(E196,'Dashboard Items'!$A$2:$A$495,0))=D196),INDEX('Dashboard Items'!$C$2:$C$495,MATCH(E196,'Dashboard Items'!$A$2:$A$495,0)),"Level does not match ID")),"ID not found"))</f>
        <v/>
      </c>
      <c r="G196" s="395" t="n"/>
      <c r="H196" s="394">
        <f>IF(G196="","",IF(ISNUMBER(SEARCH(",",G196)),"Several items (the script lists them)",IFERROR(INDEX('Dashboard Items'!$B$2:$B$495,MATCH(G196,'Dashboard Items'!$A$2:$A$495,0))&amp;": "&amp;INDEX('Dashboard Items'!$C$2:$C$495,MATCH(G196,'Dashboard Items'!$A$2:$A$495,0)),"ID not found")))</f>
        <v/>
      </c>
      <c r="I196" s="393" t="n"/>
      <c r="J196" s="393" t="n"/>
      <c r="K196" s="393" t="n"/>
      <c r="L196" s="393" t="n"/>
      <c r="M196" s="393" t="n"/>
      <c r="N196" s="393" t="n"/>
      <c r="O196" s="393" t="n"/>
      <c r="P196" s="393" t="n"/>
      <c r="Q196" s="393" t="n"/>
      <c r="R196" s="393" t="n"/>
      <c r="S196" s="393" t="n"/>
      <c r="T196" s="393" t="n"/>
      <c r="U196" s="355">
        <f>IF(B196="","",IF(IF(D196&lt;&gt;"",D196,IFERROR(INDEX('Dashboard Items'!$B$2:$B$495,MATCH(E196,'Dashboard Items'!$A$2:$A$495,0)),""))="Key Service",IF(O196="No","Key Service: shown, not counted","Counts in Key Service gauge"),IF(IF(D196&lt;&gt;"",D196,IFERROR(INDEX('Dashboard Items'!$B$2:$B$495,MATCH(E196,'Dashboard Items'!$A$2:$A$495,0)),""))="Program",IF(ISNUMBER(SEARCH("ks",G196)),IF(O196="No","Program, also at Key Service: not counted","Counts in Key Service gauge + sets Program chip"),IF(O196="No","Program: shown, no status chip","Sets Program status chip")),IF(IF(D196&lt;&gt;"",D196,IFERROR(INDEX('Dashboard Items'!$B$2:$B$495,MATCH(E196,'Dashboard Items'!$A$2:$A$495,0)),""))="Work System","Work System: shown, not counted","Check Level"))))</f>
        <v/>
      </c>
    </row>
    <row r="197" ht="15" customHeight="1" s="210">
      <c r="B197" s="393" t="n"/>
      <c r="C197" s="393" t="n"/>
      <c r="D197" s="393" t="n"/>
      <c r="E197" s="393" t="n"/>
      <c r="F197" s="394">
        <f>IF(E197="","",IFERROR(IF(INDEX('Dashboard Items'!$B$2:$B$495,MATCH(E197,'Dashboard Items'!$A$2:$A$495,0))="Objective","Objectives go in the next column",IF(OR(D197="",INDEX('Dashboard Items'!$B$2:$B$495,MATCH(E197,'Dashboard Items'!$A$2:$A$495,0))=D197),INDEX('Dashboard Items'!$C$2:$C$495,MATCH(E197,'Dashboard Items'!$A$2:$A$495,0)),"Level does not match ID")),"ID not found"))</f>
        <v/>
      </c>
      <c r="G197" s="395" t="n"/>
      <c r="H197" s="394">
        <f>IF(G197="","",IF(ISNUMBER(SEARCH(",",G197)),"Several items (the script lists them)",IFERROR(INDEX('Dashboard Items'!$B$2:$B$495,MATCH(G197,'Dashboard Items'!$A$2:$A$495,0))&amp;": "&amp;INDEX('Dashboard Items'!$C$2:$C$495,MATCH(G197,'Dashboard Items'!$A$2:$A$495,0)),"ID not found")))</f>
        <v/>
      </c>
      <c r="I197" s="393" t="n"/>
      <c r="J197" s="393" t="n"/>
      <c r="K197" s="393" t="n"/>
      <c r="L197" s="393" t="n"/>
      <c r="M197" s="393" t="n"/>
      <c r="N197" s="393" t="n"/>
      <c r="O197" s="393" t="n"/>
      <c r="P197" s="393" t="n"/>
      <c r="Q197" s="393" t="n"/>
      <c r="R197" s="393" t="n"/>
      <c r="S197" s="393" t="n"/>
      <c r="T197" s="393" t="n"/>
      <c r="U197" s="355">
        <f>IF(B197="","",IF(IF(D197&lt;&gt;"",D197,IFERROR(INDEX('Dashboard Items'!$B$2:$B$495,MATCH(E197,'Dashboard Items'!$A$2:$A$495,0)),""))="Key Service",IF(O197="No","Key Service: shown, not counted","Counts in Key Service gauge"),IF(IF(D197&lt;&gt;"",D197,IFERROR(INDEX('Dashboard Items'!$B$2:$B$495,MATCH(E197,'Dashboard Items'!$A$2:$A$495,0)),""))="Program",IF(ISNUMBER(SEARCH("ks",G197)),IF(O197="No","Program, also at Key Service: not counted","Counts in Key Service gauge + sets Program chip"),IF(O197="No","Program: shown, no status chip","Sets Program status chip")),IF(IF(D197&lt;&gt;"",D197,IFERROR(INDEX('Dashboard Items'!$B$2:$B$495,MATCH(E197,'Dashboard Items'!$A$2:$A$495,0)),""))="Work System","Work System: shown, not counted","Check Level"))))</f>
        <v/>
      </c>
    </row>
    <row r="198" ht="15" customHeight="1" s="210">
      <c r="B198" s="393" t="n"/>
      <c r="C198" s="393" t="n"/>
      <c r="D198" s="393" t="n"/>
      <c r="E198" s="393" t="n"/>
      <c r="F198" s="394">
        <f>IF(E198="","",IFERROR(IF(INDEX('Dashboard Items'!$B$2:$B$495,MATCH(E198,'Dashboard Items'!$A$2:$A$495,0))="Objective","Objectives go in the next column",IF(OR(D198="",INDEX('Dashboard Items'!$B$2:$B$495,MATCH(E198,'Dashboard Items'!$A$2:$A$495,0))=D198),INDEX('Dashboard Items'!$C$2:$C$495,MATCH(E198,'Dashboard Items'!$A$2:$A$495,0)),"Level does not match ID")),"ID not found"))</f>
        <v/>
      </c>
      <c r="G198" s="395" t="n"/>
      <c r="H198" s="394">
        <f>IF(G198="","",IF(ISNUMBER(SEARCH(",",G198)),"Several items (the script lists them)",IFERROR(INDEX('Dashboard Items'!$B$2:$B$495,MATCH(G198,'Dashboard Items'!$A$2:$A$495,0))&amp;": "&amp;INDEX('Dashboard Items'!$C$2:$C$495,MATCH(G198,'Dashboard Items'!$A$2:$A$495,0)),"ID not found")))</f>
        <v/>
      </c>
      <c r="I198" s="393" t="n"/>
      <c r="J198" s="393" t="n"/>
      <c r="K198" s="393" t="n"/>
      <c r="L198" s="393" t="n"/>
      <c r="M198" s="393" t="n"/>
      <c r="N198" s="393" t="n"/>
      <c r="O198" s="393" t="n"/>
      <c r="P198" s="393" t="n"/>
      <c r="Q198" s="393" t="n"/>
      <c r="R198" s="393" t="n"/>
      <c r="S198" s="393" t="n"/>
      <c r="T198" s="393" t="n"/>
      <c r="U198" s="355">
        <f>IF(B198="","",IF(IF(D198&lt;&gt;"",D198,IFERROR(INDEX('Dashboard Items'!$B$2:$B$495,MATCH(E198,'Dashboard Items'!$A$2:$A$495,0)),""))="Key Service",IF(O198="No","Key Service: shown, not counted","Counts in Key Service gauge"),IF(IF(D198&lt;&gt;"",D198,IFERROR(INDEX('Dashboard Items'!$B$2:$B$495,MATCH(E198,'Dashboard Items'!$A$2:$A$495,0)),""))="Program",IF(ISNUMBER(SEARCH("ks",G198)),IF(O198="No","Program, also at Key Service: not counted","Counts in Key Service gauge + sets Program chip"),IF(O198="No","Program: shown, no status chip","Sets Program status chip")),IF(IF(D198&lt;&gt;"",D198,IFERROR(INDEX('Dashboard Items'!$B$2:$B$495,MATCH(E198,'Dashboard Items'!$A$2:$A$495,0)),""))="Work System","Work System: shown, not counted","Check Level"))))</f>
        <v/>
      </c>
    </row>
    <row r="199" ht="15" customHeight="1" s="210">
      <c r="B199" s="393" t="n"/>
      <c r="C199" s="393" t="n"/>
      <c r="D199" s="393" t="n"/>
      <c r="E199" s="393" t="n"/>
      <c r="F199" s="394">
        <f>IF(E199="","",IFERROR(IF(INDEX('Dashboard Items'!$B$2:$B$495,MATCH(E199,'Dashboard Items'!$A$2:$A$495,0))="Objective","Objectives go in the next column",IF(OR(D199="",INDEX('Dashboard Items'!$B$2:$B$495,MATCH(E199,'Dashboard Items'!$A$2:$A$495,0))=D199),INDEX('Dashboard Items'!$C$2:$C$495,MATCH(E199,'Dashboard Items'!$A$2:$A$495,0)),"Level does not match ID")),"ID not found"))</f>
        <v/>
      </c>
      <c r="G199" s="395" t="n"/>
      <c r="H199" s="394">
        <f>IF(G199="","",IF(ISNUMBER(SEARCH(",",G199)),"Several items (the script lists them)",IFERROR(INDEX('Dashboard Items'!$B$2:$B$495,MATCH(G199,'Dashboard Items'!$A$2:$A$495,0))&amp;": "&amp;INDEX('Dashboard Items'!$C$2:$C$495,MATCH(G199,'Dashboard Items'!$A$2:$A$495,0)),"ID not found")))</f>
        <v/>
      </c>
      <c r="I199" s="393" t="n"/>
      <c r="J199" s="393" t="n"/>
      <c r="K199" s="393" t="n"/>
      <c r="L199" s="393" t="n"/>
      <c r="M199" s="393" t="n"/>
      <c r="N199" s="393" t="n"/>
      <c r="O199" s="393" t="n"/>
      <c r="P199" s="393" t="n"/>
      <c r="Q199" s="393" t="n"/>
      <c r="R199" s="393" t="n"/>
      <c r="S199" s="393" t="n"/>
      <c r="T199" s="393" t="n"/>
      <c r="U199" s="355">
        <f>IF(B199="","",IF(IF(D199&lt;&gt;"",D199,IFERROR(INDEX('Dashboard Items'!$B$2:$B$495,MATCH(E199,'Dashboard Items'!$A$2:$A$495,0)),""))="Key Service",IF(O199="No","Key Service: shown, not counted","Counts in Key Service gauge"),IF(IF(D199&lt;&gt;"",D199,IFERROR(INDEX('Dashboard Items'!$B$2:$B$495,MATCH(E199,'Dashboard Items'!$A$2:$A$495,0)),""))="Program",IF(ISNUMBER(SEARCH("ks",G199)),IF(O199="No","Program, also at Key Service: not counted","Counts in Key Service gauge + sets Program chip"),IF(O199="No","Program: shown, no status chip","Sets Program status chip")),IF(IF(D199&lt;&gt;"",D199,IFERROR(INDEX('Dashboard Items'!$B$2:$B$495,MATCH(E199,'Dashboard Items'!$A$2:$A$495,0)),""))="Work System","Work System: shown, not counted","Check Level"))))</f>
        <v/>
      </c>
    </row>
    <row r="200" ht="15" customHeight="1" s="210">
      <c r="B200" s="393" t="n"/>
      <c r="C200" s="393" t="n"/>
      <c r="D200" s="393" t="n"/>
      <c r="E200" s="393" t="n"/>
      <c r="F200" s="394">
        <f>IF(E200="","",IFERROR(IF(INDEX('Dashboard Items'!$B$2:$B$495,MATCH(E200,'Dashboard Items'!$A$2:$A$495,0))="Objective","Objectives go in the next column",IF(OR(D200="",INDEX('Dashboard Items'!$B$2:$B$495,MATCH(E200,'Dashboard Items'!$A$2:$A$495,0))=D200),INDEX('Dashboard Items'!$C$2:$C$495,MATCH(E200,'Dashboard Items'!$A$2:$A$495,0)),"Level does not match ID")),"ID not found"))</f>
        <v/>
      </c>
      <c r="G200" s="395" t="n"/>
      <c r="H200" s="394">
        <f>IF(G200="","",IF(ISNUMBER(SEARCH(",",G200)),"Several items (the script lists them)",IFERROR(INDEX('Dashboard Items'!$B$2:$B$495,MATCH(G200,'Dashboard Items'!$A$2:$A$495,0))&amp;": "&amp;INDEX('Dashboard Items'!$C$2:$C$495,MATCH(G200,'Dashboard Items'!$A$2:$A$495,0)),"ID not found")))</f>
        <v/>
      </c>
      <c r="I200" s="393" t="n"/>
      <c r="J200" s="393" t="n"/>
      <c r="K200" s="393" t="n"/>
      <c r="L200" s="393" t="n"/>
      <c r="M200" s="393" t="n"/>
      <c r="N200" s="393" t="n"/>
      <c r="O200" s="393" t="n"/>
      <c r="P200" s="393" t="n"/>
      <c r="Q200" s="393" t="n"/>
      <c r="R200" s="393" t="n"/>
      <c r="S200" s="393" t="n"/>
      <c r="T200" s="393" t="n"/>
      <c r="U200" s="355">
        <f>IF(B200="","",IF(IF(D200&lt;&gt;"",D200,IFERROR(INDEX('Dashboard Items'!$B$2:$B$495,MATCH(E200,'Dashboard Items'!$A$2:$A$495,0)),""))="Key Service",IF(O200="No","Key Service: shown, not counted","Counts in Key Service gauge"),IF(IF(D200&lt;&gt;"",D200,IFERROR(INDEX('Dashboard Items'!$B$2:$B$495,MATCH(E200,'Dashboard Items'!$A$2:$A$495,0)),""))="Program",IF(ISNUMBER(SEARCH("ks",G200)),IF(O200="No","Program, also at Key Service: not counted","Counts in Key Service gauge + sets Program chip"),IF(O200="No","Program: shown, no status chip","Sets Program status chip")),IF(IF(D200&lt;&gt;"",D200,IFERROR(INDEX('Dashboard Items'!$B$2:$B$495,MATCH(E200,'Dashboard Items'!$A$2:$A$495,0)),""))="Work System","Work System: shown, not counted","Check Level"))))</f>
        <v/>
      </c>
    </row>
    <row r="201" ht="15" customHeight="1" s="210">
      <c r="B201" s="393" t="n"/>
      <c r="C201" s="393" t="n"/>
      <c r="D201" s="393" t="n"/>
      <c r="E201" s="393" t="n"/>
      <c r="F201" s="394">
        <f>IF(E201="","",IFERROR(IF(INDEX('Dashboard Items'!$B$2:$B$495,MATCH(E201,'Dashboard Items'!$A$2:$A$495,0))="Objective","Objectives go in the next column",IF(OR(D201="",INDEX('Dashboard Items'!$B$2:$B$495,MATCH(E201,'Dashboard Items'!$A$2:$A$495,0))=D201),INDEX('Dashboard Items'!$C$2:$C$495,MATCH(E201,'Dashboard Items'!$A$2:$A$495,0)),"Level does not match ID")),"ID not found"))</f>
        <v/>
      </c>
      <c r="G201" s="395" t="n"/>
      <c r="H201" s="394">
        <f>IF(G201="","",IF(ISNUMBER(SEARCH(",",G201)),"Several items (the script lists them)",IFERROR(INDEX('Dashboard Items'!$B$2:$B$495,MATCH(G201,'Dashboard Items'!$A$2:$A$495,0))&amp;": "&amp;INDEX('Dashboard Items'!$C$2:$C$495,MATCH(G201,'Dashboard Items'!$A$2:$A$495,0)),"ID not found")))</f>
        <v/>
      </c>
      <c r="I201" s="393" t="n"/>
      <c r="J201" s="393" t="n"/>
      <c r="K201" s="393" t="n"/>
      <c r="L201" s="393" t="n"/>
      <c r="M201" s="393" t="n"/>
      <c r="N201" s="393" t="n"/>
      <c r="O201" s="393" t="n"/>
      <c r="P201" s="393" t="n"/>
      <c r="Q201" s="393" t="n"/>
      <c r="R201" s="393" t="n"/>
      <c r="S201" s="393" t="n"/>
      <c r="T201" s="393" t="n"/>
      <c r="U201" s="355">
        <f>IF(B201="","",IF(IF(D201&lt;&gt;"",D201,IFERROR(INDEX('Dashboard Items'!$B$2:$B$495,MATCH(E201,'Dashboard Items'!$A$2:$A$495,0)),""))="Key Service",IF(O201="No","Key Service: shown, not counted","Counts in Key Service gauge"),IF(IF(D201&lt;&gt;"",D201,IFERROR(INDEX('Dashboard Items'!$B$2:$B$495,MATCH(E201,'Dashboard Items'!$A$2:$A$495,0)),""))="Program",IF(ISNUMBER(SEARCH("ks",G201)),IF(O201="No","Program, also at Key Service: not counted","Counts in Key Service gauge + sets Program chip"),IF(O201="No","Program: shown, no status chip","Sets Program status chip")),IF(IF(D201&lt;&gt;"",D201,IFERROR(INDEX('Dashboard Items'!$B$2:$B$495,MATCH(E201,'Dashboard Items'!$A$2:$A$495,0)),""))="Work System","Work System: shown, not counted","Check Level"))))</f>
        <v/>
      </c>
    </row>
    <row r="202" ht="15" customHeight="1" s="210">
      <c r="B202" s="393" t="n"/>
      <c r="C202" s="393" t="n"/>
      <c r="D202" s="393" t="n"/>
      <c r="E202" s="393" t="n"/>
      <c r="F202" s="394">
        <f>IF(E202="","",IFERROR(IF(INDEX('Dashboard Items'!$B$2:$B$495,MATCH(E202,'Dashboard Items'!$A$2:$A$495,0))="Objective","Objectives go in the next column",IF(OR(D202="",INDEX('Dashboard Items'!$B$2:$B$495,MATCH(E202,'Dashboard Items'!$A$2:$A$495,0))=D202),INDEX('Dashboard Items'!$C$2:$C$495,MATCH(E202,'Dashboard Items'!$A$2:$A$495,0)),"Level does not match ID")),"ID not found"))</f>
        <v/>
      </c>
      <c r="G202" s="395" t="n"/>
      <c r="H202" s="394">
        <f>IF(G202="","",IF(ISNUMBER(SEARCH(",",G202)),"Several items (the script lists them)",IFERROR(INDEX('Dashboard Items'!$B$2:$B$495,MATCH(G202,'Dashboard Items'!$A$2:$A$495,0))&amp;": "&amp;INDEX('Dashboard Items'!$C$2:$C$495,MATCH(G202,'Dashboard Items'!$A$2:$A$495,0)),"ID not found")))</f>
        <v/>
      </c>
      <c r="I202" s="393" t="n"/>
      <c r="J202" s="393" t="n"/>
      <c r="K202" s="393" t="n"/>
      <c r="L202" s="393" t="n"/>
      <c r="M202" s="393" t="n"/>
      <c r="N202" s="393" t="n"/>
      <c r="O202" s="393" t="n"/>
      <c r="P202" s="393" t="n"/>
      <c r="Q202" s="393" t="n"/>
      <c r="R202" s="393" t="n"/>
      <c r="S202" s="393" t="n"/>
      <c r="T202" s="393" t="n"/>
      <c r="U202" s="355">
        <f>IF(B202="","",IF(IF(D202&lt;&gt;"",D202,IFERROR(INDEX('Dashboard Items'!$B$2:$B$495,MATCH(E202,'Dashboard Items'!$A$2:$A$495,0)),""))="Key Service",IF(O202="No","Key Service: shown, not counted","Counts in Key Service gauge"),IF(IF(D202&lt;&gt;"",D202,IFERROR(INDEX('Dashboard Items'!$B$2:$B$495,MATCH(E202,'Dashboard Items'!$A$2:$A$495,0)),""))="Program",IF(ISNUMBER(SEARCH("ks",G202)),IF(O202="No","Program, also at Key Service: not counted","Counts in Key Service gauge + sets Program chip"),IF(O202="No","Program: shown, no status chip","Sets Program status chip")),IF(IF(D202&lt;&gt;"",D202,IFERROR(INDEX('Dashboard Items'!$B$2:$B$495,MATCH(E202,'Dashboard Items'!$A$2:$A$495,0)),""))="Work System","Work System: shown, not counted","Check Level"))))</f>
        <v/>
      </c>
    </row>
    <row r="203" ht="15" customHeight="1" s="210">
      <c r="B203" s="393" t="n"/>
      <c r="C203" s="393" t="n"/>
      <c r="D203" s="393" t="n"/>
      <c r="E203" s="393" t="n"/>
      <c r="F203" s="394">
        <f>IF(E203="","",IFERROR(IF(INDEX('Dashboard Items'!$B$2:$B$495,MATCH(E203,'Dashboard Items'!$A$2:$A$495,0))="Objective","Objectives go in the next column",IF(OR(D203="",INDEX('Dashboard Items'!$B$2:$B$495,MATCH(E203,'Dashboard Items'!$A$2:$A$495,0))=D203),INDEX('Dashboard Items'!$C$2:$C$495,MATCH(E203,'Dashboard Items'!$A$2:$A$495,0)),"Level does not match ID")),"ID not found"))</f>
        <v/>
      </c>
      <c r="G203" s="395" t="n"/>
      <c r="H203" s="394">
        <f>IF(G203="","",IF(ISNUMBER(SEARCH(",",G203)),"Several items (the script lists them)",IFERROR(INDEX('Dashboard Items'!$B$2:$B$495,MATCH(G203,'Dashboard Items'!$A$2:$A$495,0))&amp;": "&amp;INDEX('Dashboard Items'!$C$2:$C$495,MATCH(G203,'Dashboard Items'!$A$2:$A$495,0)),"ID not found")))</f>
        <v/>
      </c>
      <c r="I203" s="393" t="n"/>
      <c r="J203" s="393" t="n"/>
      <c r="K203" s="393" t="n"/>
      <c r="L203" s="393" t="n"/>
      <c r="M203" s="393" t="n"/>
      <c r="N203" s="393" t="n"/>
      <c r="O203" s="393" t="n"/>
      <c r="P203" s="393" t="n"/>
      <c r="Q203" s="393" t="n"/>
      <c r="R203" s="393" t="n"/>
      <c r="S203" s="393" t="n"/>
      <c r="T203" s="393" t="n"/>
      <c r="U203" s="355">
        <f>IF(B203="","",IF(IF(D203&lt;&gt;"",D203,IFERROR(INDEX('Dashboard Items'!$B$2:$B$495,MATCH(E203,'Dashboard Items'!$A$2:$A$495,0)),""))="Key Service",IF(O203="No","Key Service: shown, not counted","Counts in Key Service gauge"),IF(IF(D203&lt;&gt;"",D203,IFERROR(INDEX('Dashboard Items'!$B$2:$B$495,MATCH(E203,'Dashboard Items'!$A$2:$A$495,0)),""))="Program",IF(ISNUMBER(SEARCH("ks",G203)),IF(O203="No","Program, also at Key Service: not counted","Counts in Key Service gauge + sets Program chip"),IF(O203="No","Program: shown, no status chip","Sets Program status chip")),IF(IF(D203&lt;&gt;"",D203,IFERROR(INDEX('Dashboard Items'!$B$2:$B$495,MATCH(E203,'Dashboard Items'!$A$2:$A$495,0)),""))="Work System","Work System: shown, not counted","Check Level"))))</f>
        <v/>
      </c>
    </row>
    <row r="204" ht="15" customHeight="1" s="210">
      <c r="B204" s="393" t="n"/>
      <c r="C204" s="393" t="n"/>
      <c r="D204" s="393" t="n"/>
      <c r="E204" s="393" t="n"/>
      <c r="F204" s="394">
        <f>IF(E204="","",IFERROR(IF(INDEX('Dashboard Items'!$B$2:$B$495,MATCH(E204,'Dashboard Items'!$A$2:$A$495,0))="Objective","Objectives go in the next column",IF(OR(D204="",INDEX('Dashboard Items'!$B$2:$B$495,MATCH(E204,'Dashboard Items'!$A$2:$A$495,0))=D204),INDEX('Dashboard Items'!$C$2:$C$495,MATCH(E204,'Dashboard Items'!$A$2:$A$495,0)),"Level does not match ID")),"ID not found"))</f>
        <v/>
      </c>
      <c r="G204" s="395" t="n"/>
      <c r="H204" s="394">
        <f>IF(G204="","",IF(ISNUMBER(SEARCH(",",G204)),"Several items (the script lists them)",IFERROR(INDEX('Dashboard Items'!$B$2:$B$495,MATCH(G204,'Dashboard Items'!$A$2:$A$495,0))&amp;": "&amp;INDEX('Dashboard Items'!$C$2:$C$495,MATCH(G204,'Dashboard Items'!$A$2:$A$495,0)),"ID not found")))</f>
        <v/>
      </c>
      <c r="I204" s="393" t="n"/>
      <c r="J204" s="393" t="n"/>
      <c r="K204" s="393" t="n"/>
      <c r="L204" s="393" t="n"/>
      <c r="M204" s="393" t="n"/>
      <c r="N204" s="393" t="n"/>
      <c r="O204" s="393" t="n"/>
      <c r="P204" s="393" t="n"/>
      <c r="Q204" s="393" t="n"/>
      <c r="R204" s="393" t="n"/>
      <c r="S204" s="393" t="n"/>
      <c r="T204" s="393" t="n"/>
      <c r="U204" s="355">
        <f>IF(B204="","",IF(IF(D204&lt;&gt;"",D204,IFERROR(INDEX('Dashboard Items'!$B$2:$B$495,MATCH(E204,'Dashboard Items'!$A$2:$A$495,0)),""))="Key Service",IF(O204="No","Key Service: shown, not counted","Counts in Key Service gauge"),IF(IF(D204&lt;&gt;"",D204,IFERROR(INDEX('Dashboard Items'!$B$2:$B$495,MATCH(E204,'Dashboard Items'!$A$2:$A$495,0)),""))="Program",IF(ISNUMBER(SEARCH("ks",G204)),IF(O204="No","Program, also at Key Service: not counted","Counts in Key Service gauge + sets Program chip"),IF(O204="No","Program: shown, no status chip","Sets Program status chip")),IF(IF(D204&lt;&gt;"",D204,IFERROR(INDEX('Dashboard Items'!$B$2:$B$495,MATCH(E204,'Dashboard Items'!$A$2:$A$495,0)),""))="Work System","Work System: shown, not counted","Check Level"))))</f>
        <v/>
      </c>
    </row>
    <row r="205" ht="15" customHeight="1" s="210">
      <c r="B205" s="393" t="n"/>
      <c r="C205" s="393" t="n"/>
      <c r="D205" s="393" t="n"/>
      <c r="E205" s="393" t="n"/>
      <c r="F205" s="394">
        <f>IF(E205="","",IFERROR(IF(INDEX('Dashboard Items'!$B$2:$B$495,MATCH(E205,'Dashboard Items'!$A$2:$A$495,0))="Objective","Objectives go in the next column",IF(OR(D205="",INDEX('Dashboard Items'!$B$2:$B$495,MATCH(E205,'Dashboard Items'!$A$2:$A$495,0))=D205),INDEX('Dashboard Items'!$C$2:$C$495,MATCH(E205,'Dashboard Items'!$A$2:$A$495,0)),"Level does not match ID")),"ID not found"))</f>
        <v/>
      </c>
      <c r="G205" s="395" t="n"/>
      <c r="H205" s="394">
        <f>IF(G205="","",IF(ISNUMBER(SEARCH(",",G205)),"Several items (the script lists them)",IFERROR(INDEX('Dashboard Items'!$B$2:$B$495,MATCH(G205,'Dashboard Items'!$A$2:$A$495,0))&amp;": "&amp;INDEX('Dashboard Items'!$C$2:$C$495,MATCH(G205,'Dashboard Items'!$A$2:$A$495,0)),"ID not found")))</f>
        <v/>
      </c>
      <c r="I205" s="393" t="n"/>
      <c r="J205" s="393" t="n"/>
      <c r="K205" s="393" t="n"/>
      <c r="L205" s="393" t="n"/>
      <c r="M205" s="393" t="n"/>
      <c r="N205" s="393" t="n"/>
      <c r="O205" s="393" t="n"/>
      <c r="P205" s="393" t="n"/>
      <c r="Q205" s="393" t="n"/>
      <c r="R205" s="393" t="n"/>
      <c r="S205" s="393" t="n"/>
      <c r="T205" s="393" t="n"/>
      <c r="U205" s="355">
        <f>IF(B205="","",IF(IF(D205&lt;&gt;"",D205,IFERROR(INDEX('Dashboard Items'!$B$2:$B$495,MATCH(E205,'Dashboard Items'!$A$2:$A$495,0)),""))="Key Service",IF(O205="No","Key Service: shown, not counted","Counts in Key Service gauge"),IF(IF(D205&lt;&gt;"",D205,IFERROR(INDEX('Dashboard Items'!$B$2:$B$495,MATCH(E205,'Dashboard Items'!$A$2:$A$495,0)),""))="Program",IF(ISNUMBER(SEARCH("ks",G205)),IF(O205="No","Program, also at Key Service: not counted","Counts in Key Service gauge + sets Program chip"),IF(O205="No","Program: shown, no status chip","Sets Program status chip")),IF(IF(D205&lt;&gt;"",D205,IFERROR(INDEX('Dashboard Items'!$B$2:$B$495,MATCH(E205,'Dashboard Items'!$A$2:$A$495,0)),""))="Work System","Work System: shown, not counted","Check Level"))))</f>
        <v/>
      </c>
    </row>
    <row r="206" ht="15" customHeight="1" s="210">
      <c r="B206" s="393" t="n"/>
      <c r="C206" s="393" t="n"/>
      <c r="D206" s="393" t="n"/>
      <c r="E206" s="393" t="n"/>
      <c r="F206" s="394">
        <f>IF(E206="","",IFERROR(IF(INDEX('Dashboard Items'!$B$2:$B$495,MATCH(E206,'Dashboard Items'!$A$2:$A$495,0))="Objective","Objectives go in the next column",IF(OR(D206="",INDEX('Dashboard Items'!$B$2:$B$495,MATCH(E206,'Dashboard Items'!$A$2:$A$495,0))=D206),INDEX('Dashboard Items'!$C$2:$C$495,MATCH(E206,'Dashboard Items'!$A$2:$A$495,0)),"Level does not match ID")),"ID not found"))</f>
        <v/>
      </c>
      <c r="G206" s="395" t="n"/>
      <c r="H206" s="394">
        <f>IF(G206="","",IF(ISNUMBER(SEARCH(",",G206)),"Several items (the script lists them)",IFERROR(INDEX('Dashboard Items'!$B$2:$B$495,MATCH(G206,'Dashboard Items'!$A$2:$A$495,0))&amp;": "&amp;INDEX('Dashboard Items'!$C$2:$C$495,MATCH(G206,'Dashboard Items'!$A$2:$A$495,0)),"ID not found")))</f>
        <v/>
      </c>
      <c r="I206" s="393" t="n"/>
      <c r="J206" s="393" t="n"/>
      <c r="K206" s="393" t="n"/>
      <c r="L206" s="393" t="n"/>
      <c r="M206" s="393" t="n"/>
      <c r="N206" s="393" t="n"/>
      <c r="O206" s="393" t="n"/>
      <c r="P206" s="393" t="n"/>
      <c r="Q206" s="393" t="n"/>
      <c r="R206" s="393" t="n"/>
      <c r="S206" s="393" t="n"/>
      <c r="T206" s="393" t="n"/>
      <c r="U206" s="355">
        <f>IF(B206="","",IF(IF(D206&lt;&gt;"",D206,IFERROR(INDEX('Dashboard Items'!$B$2:$B$495,MATCH(E206,'Dashboard Items'!$A$2:$A$495,0)),""))="Key Service",IF(O206="No","Key Service: shown, not counted","Counts in Key Service gauge"),IF(IF(D206&lt;&gt;"",D206,IFERROR(INDEX('Dashboard Items'!$B$2:$B$495,MATCH(E206,'Dashboard Items'!$A$2:$A$495,0)),""))="Program",IF(ISNUMBER(SEARCH("ks",G206)),IF(O206="No","Program, also at Key Service: not counted","Counts in Key Service gauge + sets Program chip"),IF(O206="No","Program: shown, no status chip","Sets Program status chip")),IF(IF(D206&lt;&gt;"",D206,IFERROR(INDEX('Dashboard Items'!$B$2:$B$495,MATCH(E206,'Dashboard Items'!$A$2:$A$495,0)),""))="Work System","Work System: shown, not counted","Check Level"))))</f>
        <v/>
      </c>
    </row>
    <row r="207" ht="15" customHeight="1" s="210">
      <c r="B207" s="393" t="n"/>
      <c r="C207" s="393" t="n"/>
      <c r="D207" s="393" t="n"/>
      <c r="E207" s="393" t="n"/>
      <c r="F207" s="394">
        <f>IF(E207="","",IFERROR(IF(INDEX('Dashboard Items'!$B$2:$B$495,MATCH(E207,'Dashboard Items'!$A$2:$A$495,0))="Objective","Objectives go in the next column",IF(OR(D207="",INDEX('Dashboard Items'!$B$2:$B$495,MATCH(E207,'Dashboard Items'!$A$2:$A$495,0))=D207),INDEX('Dashboard Items'!$C$2:$C$495,MATCH(E207,'Dashboard Items'!$A$2:$A$495,0)),"Level does not match ID")),"ID not found"))</f>
        <v/>
      </c>
      <c r="G207" s="395" t="n"/>
      <c r="H207" s="394">
        <f>IF(G207="","",IF(ISNUMBER(SEARCH(",",G207)),"Several items (the script lists them)",IFERROR(INDEX('Dashboard Items'!$B$2:$B$495,MATCH(G207,'Dashboard Items'!$A$2:$A$495,0))&amp;": "&amp;INDEX('Dashboard Items'!$C$2:$C$495,MATCH(G207,'Dashboard Items'!$A$2:$A$495,0)),"ID not found")))</f>
        <v/>
      </c>
      <c r="I207" s="393" t="n"/>
      <c r="J207" s="393" t="n"/>
      <c r="K207" s="393" t="n"/>
      <c r="L207" s="393" t="n"/>
      <c r="M207" s="393" t="n"/>
      <c r="N207" s="393" t="n"/>
      <c r="O207" s="393" t="n"/>
      <c r="P207" s="393" t="n"/>
      <c r="Q207" s="393" t="n"/>
      <c r="R207" s="393" t="n"/>
      <c r="S207" s="393" t="n"/>
      <c r="T207" s="393" t="n"/>
      <c r="U207" s="355">
        <f>IF(B207="","",IF(IF(D207&lt;&gt;"",D207,IFERROR(INDEX('Dashboard Items'!$B$2:$B$495,MATCH(E207,'Dashboard Items'!$A$2:$A$495,0)),""))="Key Service",IF(O207="No","Key Service: shown, not counted","Counts in Key Service gauge"),IF(IF(D207&lt;&gt;"",D207,IFERROR(INDEX('Dashboard Items'!$B$2:$B$495,MATCH(E207,'Dashboard Items'!$A$2:$A$495,0)),""))="Program",IF(ISNUMBER(SEARCH("ks",G207)),IF(O207="No","Program, also at Key Service: not counted","Counts in Key Service gauge + sets Program chip"),IF(O207="No","Program: shown, no status chip","Sets Program status chip")),IF(IF(D207&lt;&gt;"",D207,IFERROR(INDEX('Dashboard Items'!$B$2:$B$495,MATCH(E207,'Dashboard Items'!$A$2:$A$495,0)),""))="Work System","Work System: shown, not counted","Check Level"))))</f>
        <v/>
      </c>
    </row>
    <row r="208" ht="15" customHeight="1" s="210">
      <c r="B208" s="393" t="n"/>
      <c r="C208" s="393" t="n"/>
      <c r="D208" s="393" t="n"/>
      <c r="E208" s="393" t="n"/>
      <c r="F208" s="394">
        <f>IF(E208="","",IFERROR(IF(INDEX('Dashboard Items'!$B$2:$B$495,MATCH(E208,'Dashboard Items'!$A$2:$A$495,0))="Objective","Objectives go in the next column",IF(OR(D208="",INDEX('Dashboard Items'!$B$2:$B$495,MATCH(E208,'Dashboard Items'!$A$2:$A$495,0))=D208),INDEX('Dashboard Items'!$C$2:$C$495,MATCH(E208,'Dashboard Items'!$A$2:$A$495,0)),"Level does not match ID")),"ID not found"))</f>
        <v/>
      </c>
      <c r="G208" s="395" t="n"/>
      <c r="H208" s="394">
        <f>IF(G208="","",IF(ISNUMBER(SEARCH(",",G208)),"Several items (the script lists them)",IFERROR(INDEX('Dashboard Items'!$B$2:$B$495,MATCH(G208,'Dashboard Items'!$A$2:$A$495,0))&amp;": "&amp;INDEX('Dashboard Items'!$C$2:$C$495,MATCH(G208,'Dashboard Items'!$A$2:$A$495,0)),"ID not found")))</f>
        <v/>
      </c>
      <c r="I208" s="393" t="n"/>
      <c r="J208" s="393" t="n"/>
      <c r="K208" s="393" t="n"/>
      <c r="L208" s="393" t="n"/>
      <c r="M208" s="393" t="n"/>
      <c r="N208" s="393" t="n"/>
      <c r="O208" s="393" t="n"/>
      <c r="P208" s="393" t="n"/>
      <c r="Q208" s="393" t="n"/>
      <c r="R208" s="393" t="n"/>
      <c r="S208" s="393" t="n"/>
      <c r="T208" s="393" t="n"/>
      <c r="U208" s="355">
        <f>IF(B208="","",IF(IF(D208&lt;&gt;"",D208,IFERROR(INDEX('Dashboard Items'!$B$2:$B$495,MATCH(E208,'Dashboard Items'!$A$2:$A$495,0)),""))="Key Service",IF(O208="No","Key Service: shown, not counted","Counts in Key Service gauge"),IF(IF(D208&lt;&gt;"",D208,IFERROR(INDEX('Dashboard Items'!$B$2:$B$495,MATCH(E208,'Dashboard Items'!$A$2:$A$495,0)),""))="Program",IF(ISNUMBER(SEARCH("ks",G208)),IF(O208="No","Program, also at Key Service: not counted","Counts in Key Service gauge + sets Program chip"),IF(O208="No","Program: shown, no status chip","Sets Program status chip")),IF(IF(D208&lt;&gt;"",D208,IFERROR(INDEX('Dashboard Items'!$B$2:$B$495,MATCH(E208,'Dashboard Items'!$A$2:$A$495,0)),""))="Work System","Work System: shown, not counted","Check Level"))))</f>
        <v/>
      </c>
    </row>
    <row r="209" ht="15" customHeight="1" s="210">
      <c r="B209" s="393" t="n"/>
      <c r="C209" s="393" t="n"/>
      <c r="D209" s="393" t="n"/>
      <c r="E209" s="393" t="n"/>
      <c r="F209" s="394">
        <f>IF(E209="","",IFERROR(IF(INDEX('Dashboard Items'!$B$2:$B$495,MATCH(E209,'Dashboard Items'!$A$2:$A$495,0))="Objective","Objectives go in the next column",IF(OR(D209="",INDEX('Dashboard Items'!$B$2:$B$495,MATCH(E209,'Dashboard Items'!$A$2:$A$495,0))=D209),INDEX('Dashboard Items'!$C$2:$C$495,MATCH(E209,'Dashboard Items'!$A$2:$A$495,0)),"Level does not match ID")),"ID not found"))</f>
        <v/>
      </c>
      <c r="G209" s="395" t="n"/>
      <c r="H209" s="394">
        <f>IF(G209="","",IF(ISNUMBER(SEARCH(",",G209)),"Several items (the script lists them)",IFERROR(INDEX('Dashboard Items'!$B$2:$B$495,MATCH(G209,'Dashboard Items'!$A$2:$A$495,0))&amp;": "&amp;INDEX('Dashboard Items'!$C$2:$C$495,MATCH(G209,'Dashboard Items'!$A$2:$A$495,0)),"ID not found")))</f>
        <v/>
      </c>
      <c r="I209" s="393" t="n"/>
      <c r="J209" s="393" t="n"/>
      <c r="K209" s="393" t="n"/>
      <c r="L209" s="393" t="n"/>
      <c r="M209" s="393" t="n"/>
      <c r="N209" s="393" t="n"/>
      <c r="O209" s="393" t="n"/>
      <c r="P209" s="393" t="n"/>
      <c r="Q209" s="393" t="n"/>
      <c r="R209" s="393" t="n"/>
      <c r="S209" s="393" t="n"/>
      <c r="T209" s="393" t="n"/>
      <c r="U209" s="355">
        <f>IF(B209="","",IF(IF(D209&lt;&gt;"",D209,IFERROR(INDEX('Dashboard Items'!$B$2:$B$495,MATCH(E209,'Dashboard Items'!$A$2:$A$495,0)),""))="Key Service",IF(O209="No","Key Service: shown, not counted","Counts in Key Service gauge"),IF(IF(D209&lt;&gt;"",D209,IFERROR(INDEX('Dashboard Items'!$B$2:$B$495,MATCH(E209,'Dashboard Items'!$A$2:$A$495,0)),""))="Program",IF(ISNUMBER(SEARCH("ks",G209)),IF(O209="No","Program, also at Key Service: not counted","Counts in Key Service gauge + sets Program chip"),IF(O209="No","Program: shown, no status chip","Sets Program status chip")),IF(IF(D209&lt;&gt;"",D209,IFERROR(INDEX('Dashboard Items'!$B$2:$B$495,MATCH(E209,'Dashboard Items'!$A$2:$A$495,0)),""))="Work System","Work System: shown, not counted","Check Level"))))</f>
        <v/>
      </c>
    </row>
    <row r="210" ht="15" customHeight="1" s="210">
      <c r="B210" s="393" t="n"/>
      <c r="C210" s="393" t="n"/>
      <c r="D210" s="393" t="n"/>
      <c r="E210" s="393" t="n"/>
      <c r="F210" s="394">
        <f>IF(E210="","",IFERROR(IF(INDEX('Dashboard Items'!$B$2:$B$495,MATCH(E210,'Dashboard Items'!$A$2:$A$495,0))="Objective","Objectives go in the next column",IF(OR(D210="",INDEX('Dashboard Items'!$B$2:$B$495,MATCH(E210,'Dashboard Items'!$A$2:$A$495,0))=D210),INDEX('Dashboard Items'!$C$2:$C$495,MATCH(E210,'Dashboard Items'!$A$2:$A$495,0)),"Level does not match ID")),"ID not found"))</f>
        <v/>
      </c>
      <c r="G210" s="395" t="n"/>
      <c r="H210" s="394">
        <f>IF(G210="","",IF(ISNUMBER(SEARCH(",",G210)),"Several items (the script lists them)",IFERROR(INDEX('Dashboard Items'!$B$2:$B$495,MATCH(G210,'Dashboard Items'!$A$2:$A$495,0))&amp;": "&amp;INDEX('Dashboard Items'!$C$2:$C$495,MATCH(G210,'Dashboard Items'!$A$2:$A$495,0)),"ID not found")))</f>
        <v/>
      </c>
      <c r="I210" s="393" t="n"/>
      <c r="J210" s="393" t="n"/>
      <c r="K210" s="393" t="n"/>
      <c r="L210" s="393" t="n"/>
      <c r="M210" s="393" t="n"/>
      <c r="N210" s="393" t="n"/>
      <c r="O210" s="393" t="n"/>
      <c r="P210" s="393" t="n"/>
      <c r="Q210" s="393" t="n"/>
      <c r="R210" s="393" t="n"/>
      <c r="S210" s="393" t="n"/>
      <c r="T210" s="393" t="n"/>
      <c r="U210" s="355">
        <f>IF(B210="","",IF(IF(D210&lt;&gt;"",D210,IFERROR(INDEX('Dashboard Items'!$B$2:$B$495,MATCH(E210,'Dashboard Items'!$A$2:$A$495,0)),""))="Key Service",IF(O210="No","Key Service: shown, not counted","Counts in Key Service gauge"),IF(IF(D210&lt;&gt;"",D210,IFERROR(INDEX('Dashboard Items'!$B$2:$B$495,MATCH(E210,'Dashboard Items'!$A$2:$A$495,0)),""))="Program",IF(ISNUMBER(SEARCH("ks",G210)),IF(O210="No","Program, also at Key Service: not counted","Counts in Key Service gauge + sets Program chip"),IF(O210="No","Program: shown, no status chip","Sets Program status chip")),IF(IF(D210&lt;&gt;"",D210,IFERROR(INDEX('Dashboard Items'!$B$2:$B$495,MATCH(E210,'Dashboard Items'!$A$2:$A$495,0)),""))="Work System","Work System: shown, not counted","Check Level"))))</f>
        <v/>
      </c>
    </row>
    <row r="211" ht="15" customHeight="1" s="210">
      <c r="B211" s="393" t="n"/>
      <c r="C211" s="393" t="n"/>
      <c r="D211" s="393" t="n"/>
      <c r="E211" s="393" t="n"/>
      <c r="F211" s="394">
        <f>IF(E211="","",IFERROR(IF(INDEX('Dashboard Items'!$B$2:$B$495,MATCH(E211,'Dashboard Items'!$A$2:$A$495,0))="Objective","Objectives go in the next column",IF(OR(D211="",INDEX('Dashboard Items'!$B$2:$B$495,MATCH(E211,'Dashboard Items'!$A$2:$A$495,0))=D211),INDEX('Dashboard Items'!$C$2:$C$495,MATCH(E211,'Dashboard Items'!$A$2:$A$495,0)),"Level does not match ID")),"ID not found"))</f>
        <v/>
      </c>
      <c r="G211" s="395" t="n"/>
      <c r="H211" s="394">
        <f>IF(G211="","",IF(ISNUMBER(SEARCH(",",G211)),"Several items (the script lists them)",IFERROR(INDEX('Dashboard Items'!$B$2:$B$495,MATCH(G211,'Dashboard Items'!$A$2:$A$495,0))&amp;": "&amp;INDEX('Dashboard Items'!$C$2:$C$495,MATCH(G211,'Dashboard Items'!$A$2:$A$495,0)),"ID not found")))</f>
        <v/>
      </c>
      <c r="I211" s="393" t="n"/>
      <c r="J211" s="393" t="n"/>
      <c r="K211" s="393" t="n"/>
      <c r="L211" s="393" t="n"/>
      <c r="M211" s="393" t="n"/>
      <c r="N211" s="393" t="n"/>
      <c r="O211" s="393" t="n"/>
      <c r="P211" s="393" t="n"/>
      <c r="Q211" s="393" t="n"/>
      <c r="R211" s="393" t="n"/>
      <c r="S211" s="393" t="n"/>
      <c r="T211" s="393" t="n"/>
      <c r="U211" s="355">
        <f>IF(B211="","",IF(IF(D211&lt;&gt;"",D211,IFERROR(INDEX('Dashboard Items'!$B$2:$B$495,MATCH(E211,'Dashboard Items'!$A$2:$A$495,0)),""))="Key Service",IF(O211="No","Key Service: shown, not counted","Counts in Key Service gauge"),IF(IF(D211&lt;&gt;"",D211,IFERROR(INDEX('Dashboard Items'!$B$2:$B$495,MATCH(E211,'Dashboard Items'!$A$2:$A$495,0)),""))="Program",IF(ISNUMBER(SEARCH("ks",G211)),IF(O211="No","Program, also at Key Service: not counted","Counts in Key Service gauge + sets Program chip"),IF(O211="No","Program: shown, no status chip","Sets Program status chip")),IF(IF(D211&lt;&gt;"",D211,IFERROR(INDEX('Dashboard Items'!$B$2:$B$495,MATCH(E211,'Dashboard Items'!$A$2:$A$495,0)),""))="Work System","Work System: shown, not counted","Check Level"))))</f>
        <v/>
      </c>
    </row>
    <row r="212" ht="15" customHeight="1" s="210">
      <c r="B212" s="393" t="n"/>
      <c r="C212" s="393" t="n"/>
      <c r="D212" s="393" t="n"/>
      <c r="E212" s="393" t="n"/>
      <c r="F212" s="394">
        <f>IF(E212="","",IFERROR(IF(INDEX('Dashboard Items'!$B$2:$B$495,MATCH(E212,'Dashboard Items'!$A$2:$A$495,0))="Objective","Objectives go in the next column",IF(OR(D212="",INDEX('Dashboard Items'!$B$2:$B$495,MATCH(E212,'Dashboard Items'!$A$2:$A$495,0))=D212),INDEX('Dashboard Items'!$C$2:$C$495,MATCH(E212,'Dashboard Items'!$A$2:$A$495,0)),"Level does not match ID")),"ID not found"))</f>
        <v/>
      </c>
      <c r="G212" s="395" t="n"/>
      <c r="H212" s="394">
        <f>IF(G212="","",IF(ISNUMBER(SEARCH(",",G212)),"Several items (the script lists them)",IFERROR(INDEX('Dashboard Items'!$B$2:$B$495,MATCH(G212,'Dashboard Items'!$A$2:$A$495,0))&amp;": "&amp;INDEX('Dashboard Items'!$C$2:$C$495,MATCH(G212,'Dashboard Items'!$A$2:$A$495,0)),"ID not found")))</f>
        <v/>
      </c>
      <c r="I212" s="393" t="n"/>
      <c r="J212" s="393" t="n"/>
      <c r="K212" s="393" t="n"/>
      <c r="L212" s="393" t="n"/>
      <c r="M212" s="393" t="n"/>
      <c r="N212" s="393" t="n"/>
      <c r="O212" s="393" t="n"/>
      <c r="P212" s="393" t="n"/>
      <c r="Q212" s="393" t="n"/>
      <c r="R212" s="393" t="n"/>
      <c r="S212" s="393" t="n"/>
      <c r="T212" s="393" t="n"/>
      <c r="U212" s="355">
        <f>IF(B212="","",IF(IF(D212&lt;&gt;"",D212,IFERROR(INDEX('Dashboard Items'!$B$2:$B$495,MATCH(E212,'Dashboard Items'!$A$2:$A$495,0)),""))="Key Service",IF(O212="No","Key Service: shown, not counted","Counts in Key Service gauge"),IF(IF(D212&lt;&gt;"",D212,IFERROR(INDEX('Dashboard Items'!$B$2:$B$495,MATCH(E212,'Dashboard Items'!$A$2:$A$495,0)),""))="Program",IF(ISNUMBER(SEARCH("ks",G212)),IF(O212="No","Program, also at Key Service: not counted","Counts in Key Service gauge + sets Program chip"),IF(O212="No","Program: shown, no status chip","Sets Program status chip")),IF(IF(D212&lt;&gt;"",D212,IFERROR(INDEX('Dashboard Items'!$B$2:$B$495,MATCH(E212,'Dashboard Items'!$A$2:$A$495,0)),""))="Work System","Work System: shown, not counted","Check Level"))))</f>
        <v/>
      </c>
    </row>
    <row r="213" ht="15" customHeight="1" s="210">
      <c r="B213" s="393" t="n"/>
      <c r="C213" s="393" t="n"/>
      <c r="D213" s="393" t="n"/>
      <c r="E213" s="393" t="n"/>
      <c r="F213" s="394">
        <f>IF(E213="","",IFERROR(IF(INDEX('Dashboard Items'!$B$2:$B$495,MATCH(E213,'Dashboard Items'!$A$2:$A$495,0))="Objective","Objectives go in the next column",IF(OR(D213="",INDEX('Dashboard Items'!$B$2:$B$495,MATCH(E213,'Dashboard Items'!$A$2:$A$495,0))=D213),INDEX('Dashboard Items'!$C$2:$C$495,MATCH(E213,'Dashboard Items'!$A$2:$A$495,0)),"Level does not match ID")),"ID not found"))</f>
        <v/>
      </c>
      <c r="G213" s="395" t="n"/>
      <c r="H213" s="394">
        <f>IF(G213="","",IF(ISNUMBER(SEARCH(",",G213)),"Several items (the script lists them)",IFERROR(INDEX('Dashboard Items'!$B$2:$B$495,MATCH(G213,'Dashboard Items'!$A$2:$A$495,0))&amp;": "&amp;INDEX('Dashboard Items'!$C$2:$C$495,MATCH(G213,'Dashboard Items'!$A$2:$A$495,0)),"ID not found")))</f>
        <v/>
      </c>
      <c r="I213" s="393" t="n"/>
      <c r="J213" s="393" t="n"/>
      <c r="K213" s="393" t="n"/>
      <c r="L213" s="393" t="n"/>
      <c r="M213" s="393" t="n"/>
      <c r="N213" s="393" t="n"/>
      <c r="O213" s="393" t="n"/>
      <c r="P213" s="393" t="n"/>
      <c r="Q213" s="393" t="n"/>
      <c r="R213" s="393" t="n"/>
      <c r="S213" s="393" t="n"/>
      <c r="T213" s="393" t="n"/>
      <c r="U213" s="355">
        <f>IF(B213="","",IF(IF(D213&lt;&gt;"",D213,IFERROR(INDEX('Dashboard Items'!$B$2:$B$495,MATCH(E213,'Dashboard Items'!$A$2:$A$495,0)),""))="Key Service",IF(O213="No","Key Service: shown, not counted","Counts in Key Service gauge"),IF(IF(D213&lt;&gt;"",D213,IFERROR(INDEX('Dashboard Items'!$B$2:$B$495,MATCH(E213,'Dashboard Items'!$A$2:$A$495,0)),""))="Program",IF(ISNUMBER(SEARCH("ks",G213)),IF(O213="No","Program, also at Key Service: not counted","Counts in Key Service gauge + sets Program chip"),IF(O213="No","Program: shown, no status chip","Sets Program status chip")),IF(IF(D213&lt;&gt;"",D213,IFERROR(INDEX('Dashboard Items'!$B$2:$B$495,MATCH(E213,'Dashboard Items'!$A$2:$A$495,0)),""))="Work System","Work System: shown, not counted","Check Level"))))</f>
        <v/>
      </c>
    </row>
    <row r="214" ht="15" customHeight="1" s="210">
      <c r="B214" s="393" t="n"/>
      <c r="C214" s="393" t="n"/>
      <c r="D214" s="393" t="n"/>
      <c r="E214" s="393" t="n"/>
      <c r="F214" s="394">
        <f>IF(E214="","",IFERROR(IF(INDEX('Dashboard Items'!$B$2:$B$495,MATCH(E214,'Dashboard Items'!$A$2:$A$495,0))="Objective","Objectives go in the next column",IF(OR(D214="",INDEX('Dashboard Items'!$B$2:$B$495,MATCH(E214,'Dashboard Items'!$A$2:$A$495,0))=D214),INDEX('Dashboard Items'!$C$2:$C$495,MATCH(E214,'Dashboard Items'!$A$2:$A$495,0)),"Level does not match ID")),"ID not found"))</f>
        <v/>
      </c>
      <c r="G214" s="395" t="n"/>
      <c r="H214" s="394">
        <f>IF(G214="","",IF(ISNUMBER(SEARCH(",",G214)),"Several items (the script lists them)",IFERROR(INDEX('Dashboard Items'!$B$2:$B$495,MATCH(G214,'Dashboard Items'!$A$2:$A$495,0))&amp;": "&amp;INDEX('Dashboard Items'!$C$2:$C$495,MATCH(G214,'Dashboard Items'!$A$2:$A$495,0)),"ID not found")))</f>
        <v/>
      </c>
      <c r="I214" s="393" t="n"/>
      <c r="J214" s="393" t="n"/>
      <c r="K214" s="393" t="n"/>
      <c r="L214" s="393" t="n"/>
      <c r="M214" s="393" t="n"/>
      <c r="N214" s="393" t="n"/>
      <c r="O214" s="393" t="n"/>
      <c r="P214" s="393" t="n"/>
      <c r="Q214" s="393" t="n"/>
      <c r="R214" s="393" t="n"/>
      <c r="S214" s="393" t="n"/>
      <c r="T214" s="393" t="n"/>
      <c r="U214" s="355">
        <f>IF(B214="","",IF(IF(D214&lt;&gt;"",D214,IFERROR(INDEX('Dashboard Items'!$B$2:$B$495,MATCH(E214,'Dashboard Items'!$A$2:$A$495,0)),""))="Key Service",IF(O214="No","Key Service: shown, not counted","Counts in Key Service gauge"),IF(IF(D214&lt;&gt;"",D214,IFERROR(INDEX('Dashboard Items'!$B$2:$B$495,MATCH(E214,'Dashboard Items'!$A$2:$A$495,0)),""))="Program",IF(ISNUMBER(SEARCH("ks",G214)),IF(O214="No","Program, also at Key Service: not counted","Counts in Key Service gauge + sets Program chip"),IF(O214="No","Program: shown, no status chip","Sets Program status chip")),IF(IF(D214&lt;&gt;"",D214,IFERROR(INDEX('Dashboard Items'!$B$2:$B$495,MATCH(E214,'Dashboard Items'!$A$2:$A$495,0)),""))="Work System","Work System: shown, not counted","Check Level"))))</f>
        <v/>
      </c>
    </row>
    <row r="215" ht="15" customHeight="1" s="210">
      <c r="B215" s="393" t="n"/>
      <c r="C215" s="393" t="n"/>
      <c r="D215" s="393" t="n"/>
      <c r="E215" s="393" t="n"/>
      <c r="F215" s="394">
        <f>IF(E215="","",IFERROR(IF(INDEX('Dashboard Items'!$B$2:$B$495,MATCH(E215,'Dashboard Items'!$A$2:$A$495,0))="Objective","Objectives go in the next column",IF(OR(D215="",INDEX('Dashboard Items'!$B$2:$B$495,MATCH(E215,'Dashboard Items'!$A$2:$A$495,0))=D215),INDEX('Dashboard Items'!$C$2:$C$495,MATCH(E215,'Dashboard Items'!$A$2:$A$495,0)),"Level does not match ID")),"ID not found"))</f>
        <v/>
      </c>
      <c r="G215" s="395" t="n"/>
      <c r="H215" s="394">
        <f>IF(G215="","",IF(ISNUMBER(SEARCH(",",G215)),"Several items (the script lists them)",IFERROR(INDEX('Dashboard Items'!$B$2:$B$495,MATCH(G215,'Dashboard Items'!$A$2:$A$495,0))&amp;": "&amp;INDEX('Dashboard Items'!$C$2:$C$495,MATCH(G215,'Dashboard Items'!$A$2:$A$495,0)),"ID not found")))</f>
        <v/>
      </c>
      <c r="I215" s="393" t="n"/>
      <c r="J215" s="393" t="n"/>
      <c r="K215" s="393" t="n"/>
      <c r="L215" s="393" t="n"/>
      <c r="M215" s="393" t="n"/>
      <c r="N215" s="393" t="n"/>
      <c r="O215" s="393" t="n"/>
      <c r="P215" s="393" t="n"/>
      <c r="Q215" s="393" t="n"/>
      <c r="R215" s="393" t="n"/>
      <c r="S215" s="393" t="n"/>
      <c r="T215" s="393" t="n"/>
      <c r="U215" s="355">
        <f>IF(B215="","",IF(IF(D215&lt;&gt;"",D215,IFERROR(INDEX('Dashboard Items'!$B$2:$B$495,MATCH(E215,'Dashboard Items'!$A$2:$A$495,0)),""))="Key Service",IF(O215="No","Key Service: shown, not counted","Counts in Key Service gauge"),IF(IF(D215&lt;&gt;"",D215,IFERROR(INDEX('Dashboard Items'!$B$2:$B$495,MATCH(E215,'Dashboard Items'!$A$2:$A$495,0)),""))="Program",IF(ISNUMBER(SEARCH("ks",G215)),IF(O215="No","Program, also at Key Service: not counted","Counts in Key Service gauge + sets Program chip"),IF(O215="No","Program: shown, no status chip","Sets Program status chip")),IF(IF(D215&lt;&gt;"",D215,IFERROR(INDEX('Dashboard Items'!$B$2:$B$495,MATCH(E215,'Dashboard Items'!$A$2:$A$495,0)),""))="Work System","Work System: shown, not counted","Check Level"))))</f>
        <v/>
      </c>
    </row>
    <row r="216" ht="15" customHeight="1" s="210">
      <c r="B216" s="393" t="n"/>
      <c r="C216" s="393" t="n"/>
      <c r="D216" s="393" t="n"/>
      <c r="E216" s="393" t="n"/>
      <c r="F216" s="394">
        <f>IF(E216="","",IFERROR(IF(INDEX('Dashboard Items'!$B$2:$B$495,MATCH(E216,'Dashboard Items'!$A$2:$A$495,0))="Objective","Objectives go in the next column",IF(OR(D216="",INDEX('Dashboard Items'!$B$2:$B$495,MATCH(E216,'Dashboard Items'!$A$2:$A$495,0))=D216),INDEX('Dashboard Items'!$C$2:$C$495,MATCH(E216,'Dashboard Items'!$A$2:$A$495,0)),"Level does not match ID")),"ID not found"))</f>
        <v/>
      </c>
      <c r="G216" s="395" t="n"/>
      <c r="H216" s="394">
        <f>IF(G216="","",IF(ISNUMBER(SEARCH(",",G216)),"Several items (the script lists them)",IFERROR(INDEX('Dashboard Items'!$B$2:$B$495,MATCH(G216,'Dashboard Items'!$A$2:$A$495,0))&amp;": "&amp;INDEX('Dashboard Items'!$C$2:$C$495,MATCH(G216,'Dashboard Items'!$A$2:$A$495,0)),"ID not found")))</f>
        <v/>
      </c>
      <c r="I216" s="393" t="n"/>
      <c r="J216" s="393" t="n"/>
      <c r="K216" s="393" t="n"/>
      <c r="L216" s="393" t="n"/>
      <c r="M216" s="393" t="n"/>
      <c r="N216" s="393" t="n"/>
      <c r="O216" s="393" t="n"/>
      <c r="P216" s="393" t="n"/>
      <c r="Q216" s="393" t="n"/>
      <c r="R216" s="393" t="n"/>
      <c r="S216" s="393" t="n"/>
      <c r="T216" s="393" t="n"/>
      <c r="U216" s="355">
        <f>IF(B216="","",IF(IF(D216&lt;&gt;"",D216,IFERROR(INDEX('Dashboard Items'!$B$2:$B$495,MATCH(E216,'Dashboard Items'!$A$2:$A$495,0)),""))="Key Service",IF(O216="No","Key Service: shown, not counted","Counts in Key Service gauge"),IF(IF(D216&lt;&gt;"",D216,IFERROR(INDEX('Dashboard Items'!$B$2:$B$495,MATCH(E216,'Dashboard Items'!$A$2:$A$495,0)),""))="Program",IF(ISNUMBER(SEARCH("ks",G216)),IF(O216="No","Program, also at Key Service: not counted","Counts in Key Service gauge + sets Program chip"),IF(O216="No","Program: shown, no status chip","Sets Program status chip")),IF(IF(D216&lt;&gt;"",D216,IFERROR(INDEX('Dashboard Items'!$B$2:$B$495,MATCH(E216,'Dashboard Items'!$A$2:$A$495,0)),""))="Work System","Work System: shown, not counted","Check Level"))))</f>
        <v/>
      </c>
    </row>
    <row r="217" ht="15" customHeight="1" s="210">
      <c r="B217" s="393" t="n"/>
      <c r="C217" s="393" t="n"/>
      <c r="D217" s="393" t="n"/>
      <c r="E217" s="393" t="n"/>
      <c r="F217" s="394">
        <f>IF(E217="","",IFERROR(IF(INDEX('Dashboard Items'!$B$2:$B$495,MATCH(E217,'Dashboard Items'!$A$2:$A$495,0))="Objective","Objectives go in the next column",IF(OR(D217="",INDEX('Dashboard Items'!$B$2:$B$495,MATCH(E217,'Dashboard Items'!$A$2:$A$495,0))=D217),INDEX('Dashboard Items'!$C$2:$C$495,MATCH(E217,'Dashboard Items'!$A$2:$A$495,0)),"Level does not match ID")),"ID not found"))</f>
        <v/>
      </c>
      <c r="G217" s="395" t="n"/>
      <c r="H217" s="394">
        <f>IF(G217="","",IF(ISNUMBER(SEARCH(",",G217)),"Several items (the script lists them)",IFERROR(INDEX('Dashboard Items'!$B$2:$B$495,MATCH(G217,'Dashboard Items'!$A$2:$A$495,0))&amp;": "&amp;INDEX('Dashboard Items'!$C$2:$C$495,MATCH(G217,'Dashboard Items'!$A$2:$A$495,0)),"ID not found")))</f>
        <v/>
      </c>
      <c r="I217" s="393" t="n"/>
      <c r="J217" s="393" t="n"/>
      <c r="K217" s="393" t="n"/>
      <c r="L217" s="393" t="n"/>
      <c r="M217" s="393" t="n"/>
      <c r="N217" s="393" t="n"/>
      <c r="O217" s="393" t="n"/>
      <c r="P217" s="393" t="n"/>
      <c r="Q217" s="393" t="n"/>
      <c r="R217" s="393" t="n"/>
      <c r="S217" s="393" t="n"/>
      <c r="T217" s="393" t="n"/>
      <c r="U217" s="355">
        <f>IF(B217="","",IF(IF(D217&lt;&gt;"",D217,IFERROR(INDEX('Dashboard Items'!$B$2:$B$495,MATCH(E217,'Dashboard Items'!$A$2:$A$495,0)),""))="Key Service",IF(O217="No","Key Service: shown, not counted","Counts in Key Service gauge"),IF(IF(D217&lt;&gt;"",D217,IFERROR(INDEX('Dashboard Items'!$B$2:$B$495,MATCH(E217,'Dashboard Items'!$A$2:$A$495,0)),""))="Program",IF(ISNUMBER(SEARCH("ks",G217)),IF(O217="No","Program, also at Key Service: not counted","Counts in Key Service gauge + sets Program chip"),IF(O217="No","Program: shown, no status chip","Sets Program status chip")),IF(IF(D217&lt;&gt;"",D217,IFERROR(INDEX('Dashboard Items'!$B$2:$B$495,MATCH(E217,'Dashboard Items'!$A$2:$A$495,0)),""))="Work System","Work System: shown, not counted","Check Level"))))</f>
        <v/>
      </c>
    </row>
    <row r="218" ht="15" customHeight="1" s="210">
      <c r="B218" s="393" t="n"/>
      <c r="C218" s="393" t="n"/>
      <c r="D218" s="393" t="n"/>
      <c r="E218" s="393" t="n"/>
      <c r="F218" s="394">
        <f>IF(E218="","",IFERROR(IF(INDEX('Dashboard Items'!$B$2:$B$495,MATCH(E218,'Dashboard Items'!$A$2:$A$495,0))="Objective","Objectives go in the next column",IF(OR(D218="",INDEX('Dashboard Items'!$B$2:$B$495,MATCH(E218,'Dashboard Items'!$A$2:$A$495,0))=D218),INDEX('Dashboard Items'!$C$2:$C$495,MATCH(E218,'Dashboard Items'!$A$2:$A$495,0)),"Level does not match ID")),"ID not found"))</f>
        <v/>
      </c>
      <c r="G218" s="395" t="n"/>
      <c r="H218" s="394">
        <f>IF(G218="","",IF(ISNUMBER(SEARCH(",",G218)),"Several items (the script lists them)",IFERROR(INDEX('Dashboard Items'!$B$2:$B$495,MATCH(G218,'Dashboard Items'!$A$2:$A$495,0))&amp;": "&amp;INDEX('Dashboard Items'!$C$2:$C$495,MATCH(G218,'Dashboard Items'!$A$2:$A$495,0)),"ID not found")))</f>
        <v/>
      </c>
      <c r="I218" s="393" t="n"/>
      <c r="J218" s="393" t="n"/>
      <c r="K218" s="393" t="n"/>
      <c r="L218" s="393" t="n"/>
      <c r="M218" s="393" t="n"/>
      <c r="N218" s="393" t="n"/>
      <c r="O218" s="393" t="n"/>
      <c r="P218" s="393" t="n"/>
      <c r="Q218" s="393" t="n"/>
      <c r="R218" s="393" t="n"/>
      <c r="S218" s="393" t="n"/>
      <c r="T218" s="393" t="n"/>
      <c r="U218" s="355">
        <f>IF(B218="","",IF(IF(D218&lt;&gt;"",D218,IFERROR(INDEX('Dashboard Items'!$B$2:$B$495,MATCH(E218,'Dashboard Items'!$A$2:$A$495,0)),""))="Key Service",IF(O218="No","Key Service: shown, not counted","Counts in Key Service gauge"),IF(IF(D218&lt;&gt;"",D218,IFERROR(INDEX('Dashboard Items'!$B$2:$B$495,MATCH(E218,'Dashboard Items'!$A$2:$A$495,0)),""))="Program",IF(ISNUMBER(SEARCH("ks",G218)),IF(O218="No","Program, also at Key Service: not counted","Counts in Key Service gauge + sets Program chip"),IF(O218="No","Program: shown, no status chip","Sets Program status chip")),IF(IF(D218&lt;&gt;"",D218,IFERROR(INDEX('Dashboard Items'!$B$2:$B$495,MATCH(E218,'Dashboard Items'!$A$2:$A$495,0)),""))="Work System","Work System: shown, not counted","Check Level"))))</f>
        <v/>
      </c>
    </row>
    <row r="219" ht="15" customHeight="1" s="210">
      <c r="B219" s="393" t="n"/>
      <c r="C219" s="393" t="n"/>
      <c r="D219" s="393" t="n"/>
      <c r="E219" s="393" t="n"/>
      <c r="F219" s="394">
        <f>IF(E219="","",IFERROR(IF(INDEX('Dashboard Items'!$B$2:$B$495,MATCH(E219,'Dashboard Items'!$A$2:$A$495,0))="Objective","Objectives go in the next column",IF(OR(D219="",INDEX('Dashboard Items'!$B$2:$B$495,MATCH(E219,'Dashboard Items'!$A$2:$A$495,0))=D219),INDEX('Dashboard Items'!$C$2:$C$495,MATCH(E219,'Dashboard Items'!$A$2:$A$495,0)),"Level does not match ID")),"ID not found"))</f>
        <v/>
      </c>
      <c r="G219" s="395" t="n"/>
      <c r="H219" s="394">
        <f>IF(G219="","",IF(ISNUMBER(SEARCH(",",G219)),"Several items (the script lists them)",IFERROR(INDEX('Dashboard Items'!$B$2:$B$495,MATCH(G219,'Dashboard Items'!$A$2:$A$495,0))&amp;": "&amp;INDEX('Dashboard Items'!$C$2:$C$495,MATCH(G219,'Dashboard Items'!$A$2:$A$495,0)),"ID not found")))</f>
        <v/>
      </c>
      <c r="I219" s="393" t="n"/>
      <c r="J219" s="393" t="n"/>
      <c r="K219" s="393" t="n"/>
      <c r="L219" s="393" t="n"/>
      <c r="M219" s="393" t="n"/>
      <c r="N219" s="393" t="n"/>
      <c r="O219" s="393" t="n"/>
      <c r="P219" s="393" t="n"/>
      <c r="Q219" s="393" t="n"/>
      <c r="R219" s="393" t="n"/>
      <c r="S219" s="393" t="n"/>
      <c r="T219" s="393" t="n"/>
      <c r="U219" s="355">
        <f>IF(B219="","",IF(IF(D219&lt;&gt;"",D219,IFERROR(INDEX('Dashboard Items'!$B$2:$B$495,MATCH(E219,'Dashboard Items'!$A$2:$A$495,0)),""))="Key Service",IF(O219="No","Key Service: shown, not counted","Counts in Key Service gauge"),IF(IF(D219&lt;&gt;"",D219,IFERROR(INDEX('Dashboard Items'!$B$2:$B$495,MATCH(E219,'Dashboard Items'!$A$2:$A$495,0)),""))="Program",IF(ISNUMBER(SEARCH("ks",G219)),IF(O219="No","Program, also at Key Service: not counted","Counts in Key Service gauge + sets Program chip"),IF(O219="No","Program: shown, no status chip","Sets Program status chip")),IF(IF(D219&lt;&gt;"",D219,IFERROR(INDEX('Dashboard Items'!$B$2:$B$495,MATCH(E219,'Dashboard Items'!$A$2:$A$495,0)),""))="Work System","Work System: shown, not counted","Check Level"))))</f>
        <v/>
      </c>
    </row>
    <row r="220" ht="15" customHeight="1" s="210">
      <c r="B220" s="393" t="n"/>
      <c r="C220" s="393" t="n"/>
      <c r="D220" s="393" t="n"/>
      <c r="E220" s="393" t="n"/>
      <c r="F220" s="394">
        <f>IF(E220="","",IFERROR(IF(INDEX('Dashboard Items'!$B$2:$B$495,MATCH(E220,'Dashboard Items'!$A$2:$A$495,0))="Objective","Objectives go in the next column",IF(OR(D220="",INDEX('Dashboard Items'!$B$2:$B$495,MATCH(E220,'Dashboard Items'!$A$2:$A$495,0))=D220),INDEX('Dashboard Items'!$C$2:$C$495,MATCH(E220,'Dashboard Items'!$A$2:$A$495,0)),"Level does not match ID")),"ID not found"))</f>
        <v/>
      </c>
      <c r="G220" s="395" t="n"/>
      <c r="H220" s="394">
        <f>IF(G220="","",IF(ISNUMBER(SEARCH(",",G220)),"Several items (the script lists them)",IFERROR(INDEX('Dashboard Items'!$B$2:$B$495,MATCH(G220,'Dashboard Items'!$A$2:$A$495,0))&amp;": "&amp;INDEX('Dashboard Items'!$C$2:$C$495,MATCH(G220,'Dashboard Items'!$A$2:$A$495,0)),"ID not found")))</f>
        <v/>
      </c>
      <c r="I220" s="393" t="n"/>
      <c r="J220" s="393" t="n"/>
      <c r="K220" s="393" t="n"/>
      <c r="L220" s="393" t="n"/>
      <c r="M220" s="393" t="n"/>
      <c r="N220" s="393" t="n"/>
      <c r="O220" s="393" t="n"/>
      <c r="P220" s="393" t="n"/>
      <c r="Q220" s="393" t="n"/>
      <c r="R220" s="393" t="n"/>
      <c r="S220" s="393" t="n"/>
      <c r="T220" s="393" t="n"/>
      <c r="U220" s="355">
        <f>IF(B220="","",IF(IF(D220&lt;&gt;"",D220,IFERROR(INDEX('Dashboard Items'!$B$2:$B$495,MATCH(E220,'Dashboard Items'!$A$2:$A$495,0)),""))="Key Service",IF(O220="No","Key Service: shown, not counted","Counts in Key Service gauge"),IF(IF(D220&lt;&gt;"",D220,IFERROR(INDEX('Dashboard Items'!$B$2:$B$495,MATCH(E220,'Dashboard Items'!$A$2:$A$495,0)),""))="Program",IF(ISNUMBER(SEARCH("ks",G220)),IF(O220="No","Program, also at Key Service: not counted","Counts in Key Service gauge + sets Program chip"),IF(O220="No","Program: shown, no status chip","Sets Program status chip")),IF(IF(D220&lt;&gt;"",D220,IFERROR(INDEX('Dashboard Items'!$B$2:$B$495,MATCH(E220,'Dashboard Items'!$A$2:$A$495,0)),""))="Work System","Work System: shown, not counted","Check Level"))))</f>
        <v/>
      </c>
    </row>
    <row r="221" ht="15" customHeight="1" s="210">
      <c r="B221" s="393" t="n"/>
      <c r="C221" s="393" t="n"/>
      <c r="D221" s="393" t="n"/>
      <c r="E221" s="393" t="n"/>
      <c r="F221" s="394">
        <f>IF(E221="","",IFERROR(IF(INDEX('Dashboard Items'!$B$2:$B$495,MATCH(E221,'Dashboard Items'!$A$2:$A$495,0))="Objective","Objectives go in the next column",IF(OR(D221="",INDEX('Dashboard Items'!$B$2:$B$495,MATCH(E221,'Dashboard Items'!$A$2:$A$495,0))=D221),INDEX('Dashboard Items'!$C$2:$C$495,MATCH(E221,'Dashboard Items'!$A$2:$A$495,0)),"Level does not match ID")),"ID not found"))</f>
        <v/>
      </c>
      <c r="G221" s="395" t="n"/>
      <c r="H221" s="394">
        <f>IF(G221="","",IF(ISNUMBER(SEARCH(",",G221)),"Several items (the script lists them)",IFERROR(INDEX('Dashboard Items'!$B$2:$B$495,MATCH(G221,'Dashboard Items'!$A$2:$A$495,0))&amp;": "&amp;INDEX('Dashboard Items'!$C$2:$C$495,MATCH(G221,'Dashboard Items'!$A$2:$A$495,0)),"ID not found")))</f>
        <v/>
      </c>
      <c r="I221" s="393" t="n"/>
      <c r="J221" s="393" t="n"/>
      <c r="K221" s="393" t="n"/>
      <c r="L221" s="393" t="n"/>
      <c r="M221" s="393" t="n"/>
      <c r="N221" s="393" t="n"/>
      <c r="O221" s="393" t="n"/>
      <c r="P221" s="393" t="n"/>
      <c r="Q221" s="393" t="n"/>
      <c r="R221" s="393" t="n"/>
      <c r="S221" s="393" t="n"/>
      <c r="T221" s="393" t="n"/>
      <c r="U221" s="355">
        <f>IF(B221="","",IF(IF(D221&lt;&gt;"",D221,IFERROR(INDEX('Dashboard Items'!$B$2:$B$495,MATCH(E221,'Dashboard Items'!$A$2:$A$495,0)),""))="Key Service",IF(O221="No","Key Service: shown, not counted","Counts in Key Service gauge"),IF(IF(D221&lt;&gt;"",D221,IFERROR(INDEX('Dashboard Items'!$B$2:$B$495,MATCH(E221,'Dashboard Items'!$A$2:$A$495,0)),""))="Program",IF(ISNUMBER(SEARCH("ks",G221)),IF(O221="No","Program, also at Key Service: not counted","Counts in Key Service gauge + sets Program chip"),IF(O221="No","Program: shown, no status chip","Sets Program status chip")),IF(IF(D221&lt;&gt;"",D221,IFERROR(INDEX('Dashboard Items'!$B$2:$B$495,MATCH(E221,'Dashboard Items'!$A$2:$A$495,0)),""))="Work System","Work System: shown, not counted","Check Level"))))</f>
        <v/>
      </c>
    </row>
    <row r="222" ht="15" customHeight="1" s="210">
      <c r="B222" s="393" t="n"/>
      <c r="C222" s="393" t="n"/>
      <c r="D222" s="393" t="n"/>
      <c r="E222" s="393" t="n"/>
      <c r="F222" s="394">
        <f>IF(E222="","",IFERROR(IF(INDEX('Dashboard Items'!$B$2:$B$495,MATCH(E222,'Dashboard Items'!$A$2:$A$495,0))="Objective","Objectives go in the next column",IF(OR(D222="",INDEX('Dashboard Items'!$B$2:$B$495,MATCH(E222,'Dashboard Items'!$A$2:$A$495,0))=D222),INDEX('Dashboard Items'!$C$2:$C$495,MATCH(E222,'Dashboard Items'!$A$2:$A$495,0)),"Level does not match ID")),"ID not found"))</f>
        <v/>
      </c>
      <c r="G222" s="395" t="n"/>
      <c r="H222" s="394">
        <f>IF(G222="","",IF(ISNUMBER(SEARCH(",",G222)),"Several items (the script lists them)",IFERROR(INDEX('Dashboard Items'!$B$2:$B$495,MATCH(G222,'Dashboard Items'!$A$2:$A$495,0))&amp;": "&amp;INDEX('Dashboard Items'!$C$2:$C$495,MATCH(G222,'Dashboard Items'!$A$2:$A$495,0)),"ID not found")))</f>
        <v/>
      </c>
      <c r="I222" s="393" t="n"/>
      <c r="J222" s="393" t="n"/>
      <c r="K222" s="393" t="n"/>
      <c r="L222" s="393" t="n"/>
      <c r="M222" s="393" t="n"/>
      <c r="N222" s="393" t="n"/>
      <c r="O222" s="393" t="n"/>
      <c r="P222" s="393" t="n"/>
      <c r="Q222" s="393" t="n"/>
      <c r="R222" s="393" t="n"/>
      <c r="S222" s="393" t="n"/>
      <c r="T222" s="393" t="n"/>
      <c r="U222" s="355">
        <f>IF(B222="","",IF(IF(D222&lt;&gt;"",D222,IFERROR(INDEX('Dashboard Items'!$B$2:$B$495,MATCH(E222,'Dashboard Items'!$A$2:$A$495,0)),""))="Key Service",IF(O222="No","Key Service: shown, not counted","Counts in Key Service gauge"),IF(IF(D222&lt;&gt;"",D222,IFERROR(INDEX('Dashboard Items'!$B$2:$B$495,MATCH(E222,'Dashboard Items'!$A$2:$A$495,0)),""))="Program",IF(ISNUMBER(SEARCH("ks",G222)),IF(O222="No","Program, also at Key Service: not counted","Counts in Key Service gauge + sets Program chip"),IF(O222="No","Program: shown, no status chip","Sets Program status chip")),IF(IF(D222&lt;&gt;"",D222,IFERROR(INDEX('Dashboard Items'!$B$2:$B$495,MATCH(E222,'Dashboard Items'!$A$2:$A$495,0)),""))="Work System","Work System: shown, not counted","Check Level"))))</f>
        <v/>
      </c>
    </row>
    <row r="223" ht="15" customHeight="1" s="210">
      <c r="B223" s="393" t="n"/>
      <c r="C223" s="393" t="n"/>
      <c r="D223" s="393" t="n"/>
      <c r="E223" s="393" t="n"/>
      <c r="F223" s="394">
        <f>IF(E223="","",IFERROR(IF(INDEX('Dashboard Items'!$B$2:$B$495,MATCH(E223,'Dashboard Items'!$A$2:$A$495,0))="Objective","Objectives go in the next column",IF(OR(D223="",INDEX('Dashboard Items'!$B$2:$B$495,MATCH(E223,'Dashboard Items'!$A$2:$A$495,0))=D223),INDEX('Dashboard Items'!$C$2:$C$495,MATCH(E223,'Dashboard Items'!$A$2:$A$495,0)),"Level does not match ID")),"ID not found"))</f>
        <v/>
      </c>
      <c r="G223" s="395" t="n"/>
      <c r="H223" s="394">
        <f>IF(G223="","",IF(ISNUMBER(SEARCH(",",G223)),"Several items (the script lists them)",IFERROR(INDEX('Dashboard Items'!$B$2:$B$495,MATCH(G223,'Dashboard Items'!$A$2:$A$495,0))&amp;": "&amp;INDEX('Dashboard Items'!$C$2:$C$495,MATCH(G223,'Dashboard Items'!$A$2:$A$495,0)),"ID not found")))</f>
        <v/>
      </c>
      <c r="I223" s="393" t="n"/>
      <c r="J223" s="393" t="n"/>
      <c r="K223" s="393" t="n"/>
      <c r="L223" s="393" t="n"/>
      <c r="M223" s="393" t="n"/>
      <c r="N223" s="393" t="n"/>
      <c r="O223" s="393" t="n"/>
      <c r="P223" s="393" t="n"/>
      <c r="Q223" s="393" t="n"/>
      <c r="R223" s="393" t="n"/>
      <c r="S223" s="393" t="n"/>
      <c r="T223" s="393" t="n"/>
      <c r="U223" s="355">
        <f>IF(B223="","",IF(IF(D223&lt;&gt;"",D223,IFERROR(INDEX('Dashboard Items'!$B$2:$B$495,MATCH(E223,'Dashboard Items'!$A$2:$A$495,0)),""))="Key Service",IF(O223="No","Key Service: shown, not counted","Counts in Key Service gauge"),IF(IF(D223&lt;&gt;"",D223,IFERROR(INDEX('Dashboard Items'!$B$2:$B$495,MATCH(E223,'Dashboard Items'!$A$2:$A$495,0)),""))="Program",IF(ISNUMBER(SEARCH("ks",G223)),IF(O223="No","Program, also at Key Service: not counted","Counts in Key Service gauge + sets Program chip"),IF(O223="No","Program: shown, no status chip","Sets Program status chip")),IF(IF(D223&lt;&gt;"",D223,IFERROR(INDEX('Dashboard Items'!$B$2:$B$495,MATCH(E223,'Dashboard Items'!$A$2:$A$495,0)),""))="Work System","Work System: shown, not counted","Check Level"))))</f>
        <v/>
      </c>
    </row>
    <row r="224" ht="15" customHeight="1" s="210">
      <c r="B224" s="393" t="n"/>
      <c r="C224" s="393" t="n"/>
      <c r="D224" s="393" t="n"/>
      <c r="E224" s="393" t="n"/>
      <c r="F224" s="394">
        <f>IF(E224="","",IFERROR(IF(INDEX('Dashboard Items'!$B$2:$B$495,MATCH(E224,'Dashboard Items'!$A$2:$A$495,0))="Objective","Objectives go in the next column",IF(OR(D224="",INDEX('Dashboard Items'!$B$2:$B$495,MATCH(E224,'Dashboard Items'!$A$2:$A$495,0))=D224),INDEX('Dashboard Items'!$C$2:$C$495,MATCH(E224,'Dashboard Items'!$A$2:$A$495,0)),"Level does not match ID")),"ID not found"))</f>
        <v/>
      </c>
      <c r="G224" s="395" t="n"/>
      <c r="H224" s="394">
        <f>IF(G224="","",IF(ISNUMBER(SEARCH(",",G224)),"Several items (the script lists them)",IFERROR(INDEX('Dashboard Items'!$B$2:$B$495,MATCH(G224,'Dashboard Items'!$A$2:$A$495,0))&amp;": "&amp;INDEX('Dashboard Items'!$C$2:$C$495,MATCH(G224,'Dashboard Items'!$A$2:$A$495,0)),"ID not found")))</f>
        <v/>
      </c>
      <c r="I224" s="393" t="n"/>
      <c r="J224" s="393" t="n"/>
      <c r="K224" s="393" t="n"/>
      <c r="L224" s="393" t="n"/>
      <c r="M224" s="393" t="n"/>
      <c r="N224" s="393" t="n"/>
      <c r="O224" s="393" t="n"/>
      <c r="P224" s="393" t="n"/>
      <c r="Q224" s="393" t="n"/>
      <c r="R224" s="393" t="n"/>
      <c r="S224" s="393" t="n"/>
      <c r="T224" s="393" t="n"/>
      <c r="U224" s="355">
        <f>IF(B224="","",IF(IF(D224&lt;&gt;"",D224,IFERROR(INDEX('Dashboard Items'!$B$2:$B$495,MATCH(E224,'Dashboard Items'!$A$2:$A$495,0)),""))="Key Service",IF(O224="No","Key Service: shown, not counted","Counts in Key Service gauge"),IF(IF(D224&lt;&gt;"",D224,IFERROR(INDEX('Dashboard Items'!$B$2:$B$495,MATCH(E224,'Dashboard Items'!$A$2:$A$495,0)),""))="Program",IF(ISNUMBER(SEARCH("ks",G224)),IF(O224="No","Program, also at Key Service: not counted","Counts in Key Service gauge + sets Program chip"),IF(O224="No","Program: shown, no status chip","Sets Program status chip")),IF(IF(D224&lt;&gt;"",D224,IFERROR(INDEX('Dashboard Items'!$B$2:$B$495,MATCH(E224,'Dashboard Items'!$A$2:$A$495,0)),""))="Work System","Work System: shown, not counted","Check Level"))))</f>
        <v/>
      </c>
    </row>
    <row r="225" ht="15" customHeight="1" s="210">
      <c r="B225" s="393" t="n"/>
      <c r="C225" s="393" t="n"/>
      <c r="D225" s="393" t="n"/>
      <c r="E225" s="393" t="n"/>
      <c r="F225" s="394">
        <f>IF(E225="","",IFERROR(IF(INDEX('Dashboard Items'!$B$2:$B$495,MATCH(E225,'Dashboard Items'!$A$2:$A$495,0))="Objective","Objectives go in the next column",IF(OR(D225="",INDEX('Dashboard Items'!$B$2:$B$495,MATCH(E225,'Dashboard Items'!$A$2:$A$495,0))=D225),INDEX('Dashboard Items'!$C$2:$C$495,MATCH(E225,'Dashboard Items'!$A$2:$A$495,0)),"Level does not match ID")),"ID not found"))</f>
        <v/>
      </c>
      <c r="G225" s="395" t="n"/>
      <c r="H225" s="394">
        <f>IF(G225="","",IF(ISNUMBER(SEARCH(",",G225)),"Several items (the script lists them)",IFERROR(INDEX('Dashboard Items'!$B$2:$B$495,MATCH(G225,'Dashboard Items'!$A$2:$A$495,0))&amp;": "&amp;INDEX('Dashboard Items'!$C$2:$C$495,MATCH(G225,'Dashboard Items'!$A$2:$A$495,0)),"ID not found")))</f>
        <v/>
      </c>
      <c r="I225" s="393" t="n"/>
      <c r="J225" s="393" t="n"/>
      <c r="K225" s="393" t="n"/>
      <c r="L225" s="393" t="n"/>
      <c r="M225" s="393" t="n"/>
      <c r="N225" s="393" t="n"/>
      <c r="O225" s="393" t="n"/>
      <c r="P225" s="393" t="n"/>
      <c r="Q225" s="393" t="n"/>
      <c r="R225" s="393" t="n"/>
      <c r="S225" s="393" t="n"/>
      <c r="T225" s="393" t="n"/>
      <c r="U225" s="355">
        <f>IF(B225="","",IF(IF(D225&lt;&gt;"",D225,IFERROR(INDEX('Dashboard Items'!$B$2:$B$495,MATCH(E225,'Dashboard Items'!$A$2:$A$495,0)),""))="Key Service",IF(O225="No","Key Service: shown, not counted","Counts in Key Service gauge"),IF(IF(D225&lt;&gt;"",D225,IFERROR(INDEX('Dashboard Items'!$B$2:$B$495,MATCH(E225,'Dashboard Items'!$A$2:$A$495,0)),""))="Program",IF(ISNUMBER(SEARCH("ks",G225)),IF(O225="No","Program, also at Key Service: not counted","Counts in Key Service gauge + sets Program chip"),IF(O225="No","Program: shown, no status chip","Sets Program status chip")),IF(IF(D225&lt;&gt;"",D225,IFERROR(INDEX('Dashboard Items'!$B$2:$B$495,MATCH(E225,'Dashboard Items'!$A$2:$A$495,0)),""))="Work System","Work System: shown, not counted","Check Level"))))</f>
        <v/>
      </c>
    </row>
    <row r="226" ht="15" customHeight="1" s="210">
      <c r="B226" s="393" t="n"/>
      <c r="C226" s="393" t="n"/>
      <c r="D226" s="393" t="n"/>
      <c r="E226" s="393" t="n"/>
      <c r="F226" s="394">
        <f>IF(E226="","",IFERROR(IF(INDEX('Dashboard Items'!$B$2:$B$495,MATCH(E226,'Dashboard Items'!$A$2:$A$495,0))="Objective","Objectives go in the next column",IF(OR(D226="",INDEX('Dashboard Items'!$B$2:$B$495,MATCH(E226,'Dashboard Items'!$A$2:$A$495,0))=D226),INDEX('Dashboard Items'!$C$2:$C$495,MATCH(E226,'Dashboard Items'!$A$2:$A$495,0)),"Level does not match ID")),"ID not found"))</f>
        <v/>
      </c>
      <c r="G226" s="395" t="n"/>
      <c r="H226" s="394">
        <f>IF(G226="","",IF(ISNUMBER(SEARCH(",",G226)),"Several items (the script lists them)",IFERROR(INDEX('Dashboard Items'!$B$2:$B$495,MATCH(G226,'Dashboard Items'!$A$2:$A$495,0))&amp;": "&amp;INDEX('Dashboard Items'!$C$2:$C$495,MATCH(G226,'Dashboard Items'!$A$2:$A$495,0)),"ID not found")))</f>
        <v/>
      </c>
      <c r="I226" s="393" t="n"/>
      <c r="J226" s="393" t="n"/>
      <c r="K226" s="393" t="n"/>
      <c r="L226" s="393" t="n"/>
      <c r="M226" s="393" t="n"/>
      <c r="N226" s="393" t="n"/>
      <c r="O226" s="393" t="n"/>
      <c r="P226" s="393" t="n"/>
      <c r="Q226" s="393" t="n"/>
      <c r="R226" s="393" t="n"/>
      <c r="S226" s="393" t="n"/>
      <c r="T226" s="393" t="n"/>
      <c r="U226" s="355">
        <f>IF(B226="","",IF(IF(D226&lt;&gt;"",D226,IFERROR(INDEX('Dashboard Items'!$B$2:$B$495,MATCH(E226,'Dashboard Items'!$A$2:$A$495,0)),""))="Key Service",IF(O226="No","Key Service: shown, not counted","Counts in Key Service gauge"),IF(IF(D226&lt;&gt;"",D226,IFERROR(INDEX('Dashboard Items'!$B$2:$B$495,MATCH(E226,'Dashboard Items'!$A$2:$A$495,0)),""))="Program",IF(ISNUMBER(SEARCH("ks",G226)),IF(O226="No","Program, also at Key Service: not counted","Counts in Key Service gauge + sets Program chip"),IF(O226="No","Program: shown, no status chip","Sets Program status chip")),IF(IF(D226&lt;&gt;"",D226,IFERROR(INDEX('Dashboard Items'!$B$2:$B$495,MATCH(E226,'Dashboard Items'!$A$2:$A$495,0)),""))="Work System","Work System: shown, not counted","Check Level"))))</f>
        <v/>
      </c>
    </row>
    <row r="227" ht="15" customHeight="1" s="210">
      <c r="B227" s="393" t="n"/>
      <c r="C227" s="393" t="n"/>
      <c r="D227" s="393" t="n"/>
      <c r="E227" s="393" t="n"/>
      <c r="F227" s="394">
        <f>IF(E227="","",IFERROR(IF(INDEX('Dashboard Items'!$B$2:$B$495,MATCH(E227,'Dashboard Items'!$A$2:$A$495,0))="Objective","Objectives go in the next column",IF(OR(D227="",INDEX('Dashboard Items'!$B$2:$B$495,MATCH(E227,'Dashboard Items'!$A$2:$A$495,0))=D227),INDEX('Dashboard Items'!$C$2:$C$495,MATCH(E227,'Dashboard Items'!$A$2:$A$495,0)),"Level does not match ID")),"ID not found"))</f>
        <v/>
      </c>
      <c r="G227" s="395" t="n"/>
      <c r="H227" s="394">
        <f>IF(G227="","",IF(ISNUMBER(SEARCH(",",G227)),"Several items (the script lists them)",IFERROR(INDEX('Dashboard Items'!$B$2:$B$495,MATCH(G227,'Dashboard Items'!$A$2:$A$495,0))&amp;": "&amp;INDEX('Dashboard Items'!$C$2:$C$495,MATCH(G227,'Dashboard Items'!$A$2:$A$495,0)),"ID not found")))</f>
        <v/>
      </c>
      <c r="I227" s="393" t="n"/>
      <c r="J227" s="393" t="n"/>
      <c r="K227" s="393" t="n"/>
      <c r="L227" s="393" t="n"/>
      <c r="M227" s="393" t="n"/>
      <c r="N227" s="393" t="n"/>
      <c r="O227" s="393" t="n"/>
      <c r="P227" s="393" t="n"/>
      <c r="Q227" s="393" t="n"/>
      <c r="R227" s="393" t="n"/>
      <c r="S227" s="393" t="n"/>
      <c r="T227" s="393" t="n"/>
      <c r="U227" s="355">
        <f>IF(B227="","",IF(IF(D227&lt;&gt;"",D227,IFERROR(INDEX('Dashboard Items'!$B$2:$B$495,MATCH(E227,'Dashboard Items'!$A$2:$A$495,0)),""))="Key Service",IF(O227="No","Key Service: shown, not counted","Counts in Key Service gauge"),IF(IF(D227&lt;&gt;"",D227,IFERROR(INDEX('Dashboard Items'!$B$2:$B$495,MATCH(E227,'Dashboard Items'!$A$2:$A$495,0)),""))="Program",IF(ISNUMBER(SEARCH("ks",G227)),IF(O227="No","Program, also at Key Service: not counted","Counts in Key Service gauge + sets Program chip"),IF(O227="No","Program: shown, no status chip","Sets Program status chip")),IF(IF(D227&lt;&gt;"",D227,IFERROR(INDEX('Dashboard Items'!$B$2:$B$495,MATCH(E227,'Dashboard Items'!$A$2:$A$495,0)),""))="Work System","Work System: shown, not counted","Check Level"))))</f>
        <v/>
      </c>
    </row>
    <row r="228" ht="15" customHeight="1" s="210">
      <c r="B228" s="393" t="n"/>
      <c r="C228" s="393" t="n"/>
      <c r="D228" s="393" t="n"/>
      <c r="E228" s="393" t="n"/>
      <c r="F228" s="394">
        <f>IF(E228="","",IFERROR(IF(INDEX('Dashboard Items'!$B$2:$B$495,MATCH(E228,'Dashboard Items'!$A$2:$A$495,0))="Objective","Objectives go in the next column",IF(OR(D228="",INDEX('Dashboard Items'!$B$2:$B$495,MATCH(E228,'Dashboard Items'!$A$2:$A$495,0))=D228),INDEX('Dashboard Items'!$C$2:$C$495,MATCH(E228,'Dashboard Items'!$A$2:$A$495,0)),"Level does not match ID")),"ID not found"))</f>
        <v/>
      </c>
      <c r="G228" s="395" t="n"/>
      <c r="H228" s="394">
        <f>IF(G228="","",IF(ISNUMBER(SEARCH(",",G228)),"Several items (the script lists them)",IFERROR(INDEX('Dashboard Items'!$B$2:$B$495,MATCH(G228,'Dashboard Items'!$A$2:$A$495,0))&amp;": "&amp;INDEX('Dashboard Items'!$C$2:$C$495,MATCH(G228,'Dashboard Items'!$A$2:$A$495,0)),"ID not found")))</f>
        <v/>
      </c>
      <c r="I228" s="393" t="n"/>
      <c r="J228" s="393" t="n"/>
      <c r="K228" s="393" t="n"/>
      <c r="L228" s="393" t="n"/>
      <c r="M228" s="393" t="n"/>
      <c r="N228" s="393" t="n"/>
      <c r="O228" s="393" t="n"/>
      <c r="P228" s="393" t="n"/>
      <c r="Q228" s="393" t="n"/>
      <c r="R228" s="393" t="n"/>
      <c r="S228" s="393" t="n"/>
      <c r="T228" s="393" t="n"/>
      <c r="U228" s="355">
        <f>IF(B228="","",IF(IF(D228&lt;&gt;"",D228,IFERROR(INDEX('Dashboard Items'!$B$2:$B$495,MATCH(E228,'Dashboard Items'!$A$2:$A$495,0)),""))="Key Service",IF(O228="No","Key Service: shown, not counted","Counts in Key Service gauge"),IF(IF(D228&lt;&gt;"",D228,IFERROR(INDEX('Dashboard Items'!$B$2:$B$495,MATCH(E228,'Dashboard Items'!$A$2:$A$495,0)),""))="Program",IF(ISNUMBER(SEARCH("ks",G228)),IF(O228="No","Program, also at Key Service: not counted","Counts in Key Service gauge + sets Program chip"),IF(O228="No","Program: shown, no status chip","Sets Program status chip")),IF(IF(D228&lt;&gt;"",D228,IFERROR(INDEX('Dashboard Items'!$B$2:$B$495,MATCH(E228,'Dashboard Items'!$A$2:$A$495,0)),""))="Work System","Work System: shown, not counted","Check Level"))))</f>
        <v/>
      </c>
    </row>
    <row r="229" ht="15" customHeight="1" s="210">
      <c r="B229" s="393" t="n"/>
      <c r="C229" s="393" t="n"/>
      <c r="D229" s="393" t="n"/>
      <c r="E229" s="393" t="n"/>
      <c r="F229" s="394">
        <f>IF(E229="","",IFERROR(IF(INDEX('Dashboard Items'!$B$2:$B$495,MATCH(E229,'Dashboard Items'!$A$2:$A$495,0))="Objective","Objectives go in the next column",IF(OR(D229="",INDEX('Dashboard Items'!$B$2:$B$495,MATCH(E229,'Dashboard Items'!$A$2:$A$495,0))=D229),INDEX('Dashboard Items'!$C$2:$C$495,MATCH(E229,'Dashboard Items'!$A$2:$A$495,0)),"Level does not match ID")),"ID not found"))</f>
        <v/>
      </c>
      <c r="G229" s="395" t="n"/>
      <c r="H229" s="394">
        <f>IF(G229="","",IF(ISNUMBER(SEARCH(",",G229)),"Several items (the script lists them)",IFERROR(INDEX('Dashboard Items'!$B$2:$B$495,MATCH(G229,'Dashboard Items'!$A$2:$A$495,0))&amp;": "&amp;INDEX('Dashboard Items'!$C$2:$C$495,MATCH(G229,'Dashboard Items'!$A$2:$A$495,0)),"ID not found")))</f>
        <v/>
      </c>
      <c r="I229" s="393" t="n"/>
      <c r="J229" s="393" t="n"/>
      <c r="K229" s="393" t="n"/>
      <c r="L229" s="393" t="n"/>
      <c r="M229" s="393" t="n"/>
      <c r="N229" s="393" t="n"/>
      <c r="O229" s="393" t="n"/>
      <c r="P229" s="393" t="n"/>
      <c r="Q229" s="393" t="n"/>
      <c r="R229" s="393" t="n"/>
      <c r="S229" s="393" t="n"/>
      <c r="T229" s="393" t="n"/>
      <c r="U229" s="355">
        <f>IF(B229="","",IF(IF(D229&lt;&gt;"",D229,IFERROR(INDEX('Dashboard Items'!$B$2:$B$495,MATCH(E229,'Dashboard Items'!$A$2:$A$495,0)),""))="Key Service",IF(O229="No","Key Service: shown, not counted","Counts in Key Service gauge"),IF(IF(D229&lt;&gt;"",D229,IFERROR(INDEX('Dashboard Items'!$B$2:$B$495,MATCH(E229,'Dashboard Items'!$A$2:$A$495,0)),""))="Program",IF(ISNUMBER(SEARCH("ks",G229)),IF(O229="No","Program, also at Key Service: not counted","Counts in Key Service gauge + sets Program chip"),IF(O229="No","Program: shown, no status chip","Sets Program status chip")),IF(IF(D229&lt;&gt;"",D229,IFERROR(INDEX('Dashboard Items'!$B$2:$B$495,MATCH(E229,'Dashboard Items'!$A$2:$A$495,0)),""))="Work System","Work System: shown, not counted","Check Level"))))</f>
        <v/>
      </c>
    </row>
    <row r="230" ht="15" customHeight="1" s="210">
      <c r="B230" s="393" t="n"/>
      <c r="C230" s="393" t="n"/>
      <c r="D230" s="393" t="n"/>
      <c r="E230" s="393" t="n"/>
      <c r="F230" s="394">
        <f>IF(E230="","",IFERROR(IF(INDEX('Dashboard Items'!$B$2:$B$495,MATCH(E230,'Dashboard Items'!$A$2:$A$495,0))="Objective","Objectives go in the next column",IF(OR(D230="",INDEX('Dashboard Items'!$B$2:$B$495,MATCH(E230,'Dashboard Items'!$A$2:$A$495,0))=D230),INDEX('Dashboard Items'!$C$2:$C$495,MATCH(E230,'Dashboard Items'!$A$2:$A$495,0)),"Level does not match ID")),"ID not found"))</f>
        <v/>
      </c>
      <c r="G230" s="395" t="n"/>
      <c r="H230" s="394">
        <f>IF(G230="","",IF(ISNUMBER(SEARCH(",",G230)),"Several items (the script lists them)",IFERROR(INDEX('Dashboard Items'!$B$2:$B$495,MATCH(G230,'Dashboard Items'!$A$2:$A$495,0))&amp;": "&amp;INDEX('Dashboard Items'!$C$2:$C$495,MATCH(G230,'Dashboard Items'!$A$2:$A$495,0)),"ID not found")))</f>
        <v/>
      </c>
      <c r="I230" s="393" t="n"/>
      <c r="J230" s="393" t="n"/>
      <c r="K230" s="393" t="n"/>
      <c r="L230" s="393" t="n"/>
      <c r="M230" s="393" t="n"/>
      <c r="N230" s="393" t="n"/>
      <c r="O230" s="393" t="n"/>
      <c r="P230" s="393" t="n"/>
      <c r="Q230" s="393" t="n"/>
      <c r="R230" s="393" t="n"/>
      <c r="S230" s="393" t="n"/>
      <c r="T230" s="393" t="n"/>
      <c r="U230" s="355">
        <f>IF(B230="","",IF(IF(D230&lt;&gt;"",D230,IFERROR(INDEX('Dashboard Items'!$B$2:$B$495,MATCH(E230,'Dashboard Items'!$A$2:$A$495,0)),""))="Key Service",IF(O230="No","Key Service: shown, not counted","Counts in Key Service gauge"),IF(IF(D230&lt;&gt;"",D230,IFERROR(INDEX('Dashboard Items'!$B$2:$B$495,MATCH(E230,'Dashboard Items'!$A$2:$A$495,0)),""))="Program",IF(ISNUMBER(SEARCH("ks",G230)),IF(O230="No","Program, also at Key Service: not counted","Counts in Key Service gauge + sets Program chip"),IF(O230="No","Program: shown, no status chip","Sets Program status chip")),IF(IF(D230&lt;&gt;"",D230,IFERROR(INDEX('Dashboard Items'!$B$2:$B$495,MATCH(E230,'Dashboard Items'!$A$2:$A$495,0)),""))="Work System","Work System: shown, not counted","Check Level"))))</f>
        <v/>
      </c>
    </row>
    <row r="231" ht="15" customHeight="1" s="210">
      <c r="B231" s="393" t="n"/>
      <c r="C231" s="393" t="n"/>
      <c r="D231" s="393" t="n"/>
      <c r="E231" s="393" t="n"/>
      <c r="F231" s="394">
        <f>IF(E231="","",IFERROR(IF(INDEX('Dashboard Items'!$B$2:$B$495,MATCH(E231,'Dashboard Items'!$A$2:$A$495,0))="Objective","Objectives go in the next column",IF(OR(D231="",INDEX('Dashboard Items'!$B$2:$B$495,MATCH(E231,'Dashboard Items'!$A$2:$A$495,0))=D231),INDEX('Dashboard Items'!$C$2:$C$495,MATCH(E231,'Dashboard Items'!$A$2:$A$495,0)),"Level does not match ID")),"ID not found"))</f>
        <v/>
      </c>
      <c r="G231" s="395" t="n"/>
      <c r="H231" s="394">
        <f>IF(G231="","",IF(ISNUMBER(SEARCH(",",G231)),"Several items (the script lists them)",IFERROR(INDEX('Dashboard Items'!$B$2:$B$495,MATCH(G231,'Dashboard Items'!$A$2:$A$495,0))&amp;": "&amp;INDEX('Dashboard Items'!$C$2:$C$495,MATCH(G231,'Dashboard Items'!$A$2:$A$495,0)),"ID not found")))</f>
        <v/>
      </c>
      <c r="I231" s="393" t="n"/>
      <c r="J231" s="393" t="n"/>
      <c r="K231" s="393" t="n"/>
      <c r="L231" s="393" t="n"/>
      <c r="M231" s="393" t="n"/>
      <c r="N231" s="393" t="n"/>
      <c r="O231" s="393" t="n"/>
      <c r="P231" s="393" t="n"/>
      <c r="Q231" s="393" t="n"/>
      <c r="R231" s="393" t="n"/>
      <c r="S231" s="393" t="n"/>
      <c r="T231" s="393" t="n"/>
      <c r="U231" s="355">
        <f>IF(B231="","",IF(IF(D231&lt;&gt;"",D231,IFERROR(INDEX('Dashboard Items'!$B$2:$B$495,MATCH(E231,'Dashboard Items'!$A$2:$A$495,0)),""))="Key Service",IF(O231="No","Key Service: shown, not counted","Counts in Key Service gauge"),IF(IF(D231&lt;&gt;"",D231,IFERROR(INDEX('Dashboard Items'!$B$2:$B$495,MATCH(E231,'Dashboard Items'!$A$2:$A$495,0)),""))="Program",IF(ISNUMBER(SEARCH("ks",G231)),IF(O231="No","Program, also at Key Service: not counted","Counts in Key Service gauge + sets Program chip"),IF(O231="No","Program: shown, no status chip","Sets Program status chip")),IF(IF(D231&lt;&gt;"",D231,IFERROR(INDEX('Dashboard Items'!$B$2:$B$495,MATCH(E231,'Dashboard Items'!$A$2:$A$495,0)),""))="Work System","Work System: shown, not counted","Check Level"))))</f>
        <v/>
      </c>
    </row>
    <row r="232" ht="15" customHeight="1" s="210">
      <c r="B232" s="393" t="n"/>
      <c r="C232" s="393" t="n"/>
      <c r="D232" s="393" t="n"/>
      <c r="E232" s="393" t="n"/>
      <c r="F232" s="394">
        <f>IF(E232="","",IFERROR(IF(INDEX('Dashboard Items'!$B$2:$B$495,MATCH(E232,'Dashboard Items'!$A$2:$A$495,0))="Objective","Objectives go in the next column",IF(OR(D232="",INDEX('Dashboard Items'!$B$2:$B$495,MATCH(E232,'Dashboard Items'!$A$2:$A$495,0))=D232),INDEX('Dashboard Items'!$C$2:$C$495,MATCH(E232,'Dashboard Items'!$A$2:$A$495,0)),"Level does not match ID")),"ID not found"))</f>
        <v/>
      </c>
      <c r="G232" s="395" t="n"/>
      <c r="H232" s="394">
        <f>IF(G232="","",IF(ISNUMBER(SEARCH(",",G232)),"Several items (the script lists them)",IFERROR(INDEX('Dashboard Items'!$B$2:$B$495,MATCH(G232,'Dashboard Items'!$A$2:$A$495,0))&amp;": "&amp;INDEX('Dashboard Items'!$C$2:$C$495,MATCH(G232,'Dashboard Items'!$A$2:$A$495,0)),"ID not found")))</f>
        <v/>
      </c>
      <c r="I232" s="393" t="n"/>
      <c r="J232" s="393" t="n"/>
      <c r="K232" s="393" t="n"/>
      <c r="L232" s="393" t="n"/>
      <c r="M232" s="393" t="n"/>
      <c r="N232" s="393" t="n"/>
      <c r="O232" s="393" t="n"/>
      <c r="P232" s="393" t="n"/>
      <c r="Q232" s="393" t="n"/>
      <c r="R232" s="393" t="n"/>
      <c r="S232" s="393" t="n"/>
      <c r="T232" s="393" t="n"/>
      <c r="U232" s="355">
        <f>IF(B232="","",IF(IF(D232&lt;&gt;"",D232,IFERROR(INDEX('Dashboard Items'!$B$2:$B$495,MATCH(E232,'Dashboard Items'!$A$2:$A$495,0)),""))="Key Service",IF(O232="No","Key Service: shown, not counted","Counts in Key Service gauge"),IF(IF(D232&lt;&gt;"",D232,IFERROR(INDEX('Dashboard Items'!$B$2:$B$495,MATCH(E232,'Dashboard Items'!$A$2:$A$495,0)),""))="Program",IF(ISNUMBER(SEARCH("ks",G232)),IF(O232="No","Program, also at Key Service: not counted","Counts in Key Service gauge + sets Program chip"),IF(O232="No","Program: shown, no status chip","Sets Program status chip")),IF(IF(D232&lt;&gt;"",D232,IFERROR(INDEX('Dashboard Items'!$B$2:$B$495,MATCH(E232,'Dashboard Items'!$A$2:$A$495,0)),""))="Work System","Work System: shown, not counted","Check Level"))))</f>
        <v/>
      </c>
    </row>
    <row r="233" ht="15" customHeight="1" s="210">
      <c r="B233" s="393" t="n"/>
      <c r="C233" s="393" t="n"/>
      <c r="D233" s="393" t="n"/>
      <c r="E233" s="393" t="n"/>
      <c r="F233" s="394">
        <f>IF(E233="","",IFERROR(IF(INDEX('Dashboard Items'!$B$2:$B$495,MATCH(E233,'Dashboard Items'!$A$2:$A$495,0))="Objective","Objectives go in the next column",IF(OR(D233="",INDEX('Dashboard Items'!$B$2:$B$495,MATCH(E233,'Dashboard Items'!$A$2:$A$495,0))=D233),INDEX('Dashboard Items'!$C$2:$C$495,MATCH(E233,'Dashboard Items'!$A$2:$A$495,0)),"Level does not match ID")),"ID not found"))</f>
        <v/>
      </c>
      <c r="G233" s="395" t="n"/>
      <c r="H233" s="394">
        <f>IF(G233="","",IF(ISNUMBER(SEARCH(",",G233)),"Several items (the script lists them)",IFERROR(INDEX('Dashboard Items'!$B$2:$B$495,MATCH(G233,'Dashboard Items'!$A$2:$A$495,0))&amp;": "&amp;INDEX('Dashboard Items'!$C$2:$C$495,MATCH(G233,'Dashboard Items'!$A$2:$A$495,0)),"ID not found")))</f>
        <v/>
      </c>
      <c r="I233" s="393" t="n"/>
      <c r="J233" s="393" t="n"/>
      <c r="K233" s="393" t="n"/>
      <c r="L233" s="393" t="n"/>
      <c r="M233" s="393" t="n"/>
      <c r="N233" s="393" t="n"/>
      <c r="O233" s="393" t="n"/>
      <c r="P233" s="393" t="n"/>
      <c r="Q233" s="393" t="n"/>
      <c r="R233" s="393" t="n"/>
      <c r="S233" s="393" t="n"/>
      <c r="T233" s="393" t="n"/>
      <c r="U233" s="355">
        <f>IF(B233="","",IF(IF(D233&lt;&gt;"",D233,IFERROR(INDEX('Dashboard Items'!$B$2:$B$495,MATCH(E233,'Dashboard Items'!$A$2:$A$495,0)),""))="Key Service",IF(O233="No","Key Service: shown, not counted","Counts in Key Service gauge"),IF(IF(D233&lt;&gt;"",D233,IFERROR(INDEX('Dashboard Items'!$B$2:$B$495,MATCH(E233,'Dashboard Items'!$A$2:$A$495,0)),""))="Program",IF(ISNUMBER(SEARCH("ks",G233)),IF(O233="No","Program, also at Key Service: not counted","Counts in Key Service gauge + sets Program chip"),IF(O233="No","Program: shown, no status chip","Sets Program status chip")),IF(IF(D233&lt;&gt;"",D233,IFERROR(INDEX('Dashboard Items'!$B$2:$B$495,MATCH(E233,'Dashboard Items'!$A$2:$A$495,0)),""))="Work System","Work System: shown, not counted","Check Level"))))</f>
        <v/>
      </c>
    </row>
    <row r="234" ht="15" customHeight="1" s="210">
      <c r="B234" s="393" t="n"/>
      <c r="C234" s="393" t="n"/>
      <c r="D234" s="393" t="n"/>
      <c r="E234" s="393" t="n"/>
      <c r="F234" s="394">
        <f>IF(E234="","",IFERROR(IF(INDEX('Dashboard Items'!$B$2:$B$495,MATCH(E234,'Dashboard Items'!$A$2:$A$495,0))="Objective","Objectives go in the next column",IF(OR(D234="",INDEX('Dashboard Items'!$B$2:$B$495,MATCH(E234,'Dashboard Items'!$A$2:$A$495,0))=D234),INDEX('Dashboard Items'!$C$2:$C$495,MATCH(E234,'Dashboard Items'!$A$2:$A$495,0)),"Level does not match ID")),"ID not found"))</f>
        <v/>
      </c>
      <c r="G234" s="395" t="n"/>
      <c r="H234" s="394">
        <f>IF(G234="","",IF(ISNUMBER(SEARCH(",",G234)),"Several items (the script lists them)",IFERROR(INDEX('Dashboard Items'!$B$2:$B$495,MATCH(G234,'Dashboard Items'!$A$2:$A$495,0))&amp;": "&amp;INDEX('Dashboard Items'!$C$2:$C$495,MATCH(G234,'Dashboard Items'!$A$2:$A$495,0)),"ID not found")))</f>
        <v/>
      </c>
      <c r="I234" s="393" t="n"/>
      <c r="J234" s="393" t="n"/>
      <c r="K234" s="393" t="n"/>
      <c r="L234" s="393" t="n"/>
      <c r="M234" s="393" t="n"/>
      <c r="N234" s="393" t="n"/>
      <c r="O234" s="393" t="n"/>
      <c r="P234" s="393" t="n"/>
      <c r="Q234" s="393" t="n"/>
      <c r="R234" s="393" t="n"/>
      <c r="S234" s="393" t="n"/>
      <c r="T234" s="393" t="n"/>
      <c r="U234" s="355">
        <f>IF(B234="","",IF(IF(D234&lt;&gt;"",D234,IFERROR(INDEX('Dashboard Items'!$B$2:$B$495,MATCH(E234,'Dashboard Items'!$A$2:$A$495,0)),""))="Key Service",IF(O234="No","Key Service: shown, not counted","Counts in Key Service gauge"),IF(IF(D234&lt;&gt;"",D234,IFERROR(INDEX('Dashboard Items'!$B$2:$B$495,MATCH(E234,'Dashboard Items'!$A$2:$A$495,0)),""))="Program",IF(ISNUMBER(SEARCH("ks",G234)),IF(O234="No","Program, also at Key Service: not counted","Counts in Key Service gauge + sets Program chip"),IF(O234="No","Program: shown, no status chip","Sets Program status chip")),IF(IF(D234&lt;&gt;"",D234,IFERROR(INDEX('Dashboard Items'!$B$2:$B$495,MATCH(E234,'Dashboard Items'!$A$2:$A$495,0)),""))="Work System","Work System: shown, not counted","Check Level"))))</f>
        <v/>
      </c>
    </row>
    <row r="235" ht="15" customHeight="1" s="210">
      <c r="B235" s="393" t="n"/>
      <c r="C235" s="393" t="n"/>
      <c r="D235" s="393" t="n"/>
      <c r="E235" s="393" t="n"/>
      <c r="F235" s="394">
        <f>IF(E235="","",IFERROR(IF(INDEX('Dashboard Items'!$B$2:$B$495,MATCH(E235,'Dashboard Items'!$A$2:$A$495,0))="Objective","Objectives go in the next column",IF(OR(D235="",INDEX('Dashboard Items'!$B$2:$B$495,MATCH(E235,'Dashboard Items'!$A$2:$A$495,0))=D235),INDEX('Dashboard Items'!$C$2:$C$495,MATCH(E235,'Dashboard Items'!$A$2:$A$495,0)),"Level does not match ID")),"ID not found"))</f>
        <v/>
      </c>
      <c r="G235" s="395" t="n"/>
      <c r="H235" s="394">
        <f>IF(G235="","",IF(ISNUMBER(SEARCH(",",G235)),"Several items (the script lists them)",IFERROR(INDEX('Dashboard Items'!$B$2:$B$495,MATCH(G235,'Dashboard Items'!$A$2:$A$495,0))&amp;": "&amp;INDEX('Dashboard Items'!$C$2:$C$495,MATCH(G235,'Dashboard Items'!$A$2:$A$495,0)),"ID not found")))</f>
        <v/>
      </c>
      <c r="I235" s="393" t="n"/>
      <c r="J235" s="393" t="n"/>
      <c r="K235" s="393" t="n"/>
      <c r="L235" s="393" t="n"/>
      <c r="M235" s="393" t="n"/>
      <c r="N235" s="393" t="n"/>
      <c r="O235" s="393" t="n"/>
      <c r="P235" s="393" t="n"/>
      <c r="Q235" s="393" t="n"/>
      <c r="R235" s="393" t="n"/>
      <c r="S235" s="393" t="n"/>
      <c r="T235" s="393" t="n"/>
      <c r="U235" s="355">
        <f>IF(B235="","",IF(IF(D235&lt;&gt;"",D235,IFERROR(INDEX('Dashboard Items'!$B$2:$B$495,MATCH(E235,'Dashboard Items'!$A$2:$A$495,0)),""))="Key Service",IF(O235="No","Key Service: shown, not counted","Counts in Key Service gauge"),IF(IF(D235&lt;&gt;"",D235,IFERROR(INDEX('Dashboard Items'!$B$2:$B$495,MATCH(E235,'Dashboard Items'!$A$2:$A$495,0)),""))="Program",IF(ISNUMBER(SEARCH("ks",G235)),IF(O235="No","Program, also at Key Service: not counted","Counts in Key Service gauge + sets Program chip"),IF(O235="No","Program: shown, no status chip","Sets Program status chip")),IF(IF(D235&lt;&gt;"",D235,IFERROR(INDEX('Dashboard Items'!$B$2:$B$495,MATCH(E235,'Dashboard Items'!$A$2:$A$495,0)),""))="Work System","Work System: shown, not counted","Check Level"))))</f>
        <v/>
      </c>
    </row>
    <row r="236" ht="15" customHeight="1" s="210">
      <c r="B236" s="393" t="n"/>
      <c r="C236" s="393" t="n"/>
      <c r="D236" s="393" t="n"/>
      <c r="E236" s="393" t="n"/>
      <c r="F236" s="394">
        <f>IF(E236="","",IFERROR(IF(INDEX('Dashboard Items'!$B$2:$B$495,MATCH(E236,'Dashboard Items'!$A$2:$A$495,0))="Objective","Objectives go in the next column",IF(OR(D236="",INDEX('Dashboard Items'!$B$2:$B$495,MATCH(E236,'Dashboard Items'!$A$2:$A$495,0))=D236),INDEX('Dashboard Items'!$C$2:$C$495,MATCH(E236,'Dashboard Items'!$A$2:$A$495,0)),"Level does not match ID")),"ID not found"))</f>
        <v/>
      </c>
      <c r="G236" s="395" t="n"/>
      <c r="H236" s="394">
        <f>IF(G236="","",IF(ISNUMBER(SEARCH(",",G236)),"Several items (the script lists them)",IFERROR(INDEX('Dashboard Items'!$B$2:$B$495,MATCH(G236,'Dashboard Items'!$A$2:$A$495,0))&amp;": "&amp;INDEX('Dashboard Items'!$C$2:$C$495,MATCH(G236,'Dashboard Items'!$A$2:$A$495,0)),"ID not found")))</f>
        <v/>
      </c>
      <c r="I236" s="393" t="n"/>
      <c r="J236" s="393" t="n"/>
      <c r="K236" s="393" t="n"/>
      <c r="L236" s="393" t="n"/>
      <c r="M236" s="393" t="n"/>
      <c r="N236" s="393" t="n"/>
      <c r="O236" s="393" t="n"/>
      <c r="P236" s="393" t="n"/>
      <c r="Q236" s="393" t="n"/>
      <c r="R236" s="393" t="n"/>
      <c r="S236" s="393" t="n"/>
      <c r="T236" s="393" t="n"/>
      <c r="U236" s="355">
        <f>IF(B236="","",IF(IF(D236&lt;&gt;"",D236,IFERROR(INDEX('Dashboard Items'!$B$2:$B$495,MATCH(E236,'Dashboard Items'!$A$2:$A$495,0)),""))="Key Service",IF(O236="No","Key Service: shown, not counted","Counts in Key Service gauge"),IF(IF(D236&lt;&gt;"",D236,IFERROR(INDEX('Dashboard Items'!$B$2:$B$495,MATCH(E236,'Dashboard Items'!$A$2:$A$495,0)),""))="Program",IF(ISNUMBER(SEARCH("ks",G236)),IF(O236="No","Program, also at Key Service: not counted","Counts in Key Service gauge + sets Program chip"),IF(O236="No","Program: shown, no status chip","Sets Program status chip")),IF(IF(D236&lt;&gt;"",D236,IFERROR(INDEX('Dashboard Items'!$B$2:$B$495,MATCH(E236,'Dashboard Items'!$A$2:$A$495,0)),""))="Work System","Work System: shown, not counted","Check Level"))))</f>
        <v/>
      </c>
    </row>
    <row r="237" ht="15" customHeight="1" s="210">
      <c r="B237" s="393" t="n"/>
      <c r="C237" s="393" t="n"/>
      <c r="D237" s="393" t="n"/>
      <c r="E237" s="393" t="n"/>
      <c r="F237" s="394">
        <f>IF(E237="","",IFERROR(IF(INDEX('Dashboard Items'!$B$2:$B$495,MATCH(E237,'Dashboard Items'!$A$2:$A$495,0))="Objective","Objectives go in the next column",IF(OR(D237="",INDEX('Dashboard Items'!$B$2:$B$495,MATCH(E237,'Dashboard Items'!$A$2:$A$495,0))=D237),INDEX('Dashboard Items'!$C$2:$C$495,MATCH(E237,'Dashboard Items'!$A$2:$A$495,0)),"Level does not match ID")),"ID not found"))</f>
        <v/>
      </c>
      <c r="G237" s="395" t="n"/>
      <c r="H237" s="394">
        <f>IF(G237="","",IF(ISNUMBER(SEARCH(",",G237)),"Several items (the script lists them)",IFERROR(INDEX('Dashboard Items'!$B$2:$B$495,MATCH(G237,'Dashboard Items'!$A$2:$A$495,0))&amp;": "&amp;INDEX('Dashboard Items'!$C$2:$C$495,MATCH(G237,'Dashboard Items'!$A$2:$A$495,0)),"ID not found")))</f>
        <v/>
      </c>
      <c r="I237" s="393" t="n"/>
      <c r="J237" s="393" t="n"/>
      <c r="K237" s="393" t="n"/>
      <c r="L237" s="393" t="n"/>
      <c r="M237" s="393" t="n"/>
      <c r="N237" s="393" t="n"/>
      <c r="O237" s="393" t="n"/>
      <c r="P237" s="393" t="n"/>
      <c r="Q237" s="393" t="n"/>
      <c r="R237" s="393" t="n"/>
      <c r="S237" s="393" t="n"/>
      <c r="T237" s="393" t="n"/>
      <c r="U237" s="355">
        <f>IF(B237="","",IF(IF(D237&lt;&gt;"",D237,IFERROR(INDEX('Dashboard Items'!$B$2:$B$495,MATCH(E237,'Dashboard Items'!$A$2:$A$495,0)),""))="Key Service",IF(O237="No","Key Service: shown, not counted","Counts in Key Service gauge"),IF(IF(D237&lt;&gt;"",D237,IFERROR(INDEX('Dashboard Items'!$B$2:$B$495,MATCH(E237,'Dashboard Items'!$A$2:$A$495,0)),""))="Program",IF(ISNUMBER(SEARCH("ks",G237)),IF(O237="No","Program, also at Key Service: not counted","Counts in Key Service gauge + sets Program chip"),IF(O237="No","Program: shown, no status chip","Sets Program status chip")),IF(IF(D237&lt;&gt;"",D237,IFERROR(INDEX('Dashboard Items'!$B$2:$B$495,MATCH(E237,'Dashboard Items'!$A$2:$A$495,0)),""))="Work System","Work System: shown, not counted","Check Level"))))</f>
        <v/>
      </c>
    </row>
    <row r="238" ht="15" customHeight="1" s="210">
      <c r="B238" s="393" t="n"/>
      <c r="C238" s="393" t="n"/>
      <c r="D238" s="393" t="n"/>
      <c r="E238" s="393" t="n"/>
      <c r="F238" s="394">
        <f>IF(E238="","",IFERROR(IF(INDEX('Dashboard Items'!$B$2:$B$495,MATCH(E238,'Dashboard Items'!$A$2:$A$495,0))="Objective","Objectives go in the next column",IF(OR(D238="",INDEX('Dashboard Items'!$B$2:$B$495,MATCH(E238,'Dashboard Items'!$A$2:$A$495,0))=D238),INDEX('Dashboard Items'!$C$2:$C$495,MATCH(E238,'Dashboard Items'!$A$2:$A$495,0)),"Level does not match ID")),"ID not found"))</f>
        <v/>
      </c>
      <c r="G238" s="395" t="n"/>
      <c r="H238" s="394">
        <f>IF(G238="","",IF(ISNUMBER(SEARCH(",",G238)),"Several items (the script lists them)",IFERROR(INDEX('Dashboard Items'!$B$2:$B$495,MATCH(G238,'Dashboard Items'!$A$2:$A$495,0))&amp;": "&amp;INDEX('Dashboard Items'!$C$2:$C$495,MATCH(G238,'Dashboard Items'!$A$2:$A$495,0)),"ID not found")))</f>
        <v/>
      </c>
      <c r="I238" s="393" t="n"/>
      <c r="J238" s="393" t="n"/>
      <c r="K238" s="393" t="n"/>
      <c r="L238" s="393" t="n"/>
      <c r="M238" s="393" t="n"/>
      <c r="N238" s="393" t="n"/>
      <c r="O238" s="393" t="n"/>
      <c r="P238" s="393" t="n"/>
      <c r="Q238" s="393" t="n"/>
      <c r="R238" s="393" t="n"/>
      <c r="S238" s="393" t="n"/>
      <c r="T238" s="393" t="n"/>
      <c r="U238" s="355">
        <f>IF(B238="","",IF(IF(D238&lt;&gt;"",D238,IFERROR(INDEX('Dashboard Items'!$B$2:$B$495,MATCH(E238,'Dashboard Items'!$A$2:$A$495,0)),""))="Key Service",IF(O238="No","Key Service: shown, not counted","Counts in Key Service gauge"),IF(IF(D238&lt;&gt;"",D238,IFERROR(INDEX('Dashboard Items'!$B$2:$B$495,MATCH(E238,'Dashboard Items'!$A$2:$A$495,0)),""))="Program",IF(ISNUMBER(SEARCH("ks",G238)),IF(O238="No","Program, also at Key Service: not counted","Counts in Key Service gauge + sets Program chip"),IF(O238="No","Program: shown, no status chip","Sets Program status chip")),IF(IF(D238&lt;&gt;"",D238,IFERROR(INDEX('Dashboard Items'!$B$2:$B$495,MATCH(E238,'Dashboard Items'!$A$2:$A$495,0)),""))="Work System","Work System: shown, not counted","Check Level"))))</f>
        <v/>
      </c>
    </row>
    <row r="239" ht="15" customHeight="1" s="210">
      <c r="B239" s="393" t="n"/>
      <c r="C239" s="393" t="n"/>
      <c r="D239" s="393" t="n"/>
      <c r="E239" s="393" t="n"/>
      <c r="F239" s="394">
        <f>IF(E239="","",IFERROR(IF(INDEX('Dashboard Items'!$B$2:$B$495,MATCH(E239,'Dashboard Items'!$A$2:$A$495,0))="Objective","Objectives go in the next column",IF(OR(D239="",INDEX('Dashboard Items'!$B$2:$B$495,MATCH(E239,'Dashboard Items'!$A$2:$A$495,0))=D239),INDEX('Dashboard Items'!$C$2:$C$495,MATCH(E239,'Dashboard Items'!$A$2:$A$495,0)),"Level does not match ID")),"ID not found"))</f>
        <v/>
      </c>
      <c r="G239" s="395" t="n"/>
      <c r="H239" s="394">
        <f>IF(G239="","",IF(ISNUMBER(SEARCH(",",G239)),"Several items (the script lists them)",IFERROR(INDEX('Dashboard Items'!$B$2:$B$495,MATCH(G239,'Dashboard Items'!$A$2:$A$495,0))&amp;": "&amp;INDEX('Dashboard Items'!$C$2:$C$495,MATCH(G239,'Dashboard Items'!$A$2:$A$495,0)),"ID not found")))</f>
        <v/>
      </c>
      <c r="I239" s="393" t="n"/>
      <c r="J239" s="393" t="n"/>
      <c r="K239" s="393" t="n"/>
      <c r="L239" s="393" t="n"/>
      <c r="M239" s="393" t="n"/>
      <c r="N239" s="393" t="n"/>
      <c r="O239" s="393" t="n"/>
      <c r="P239" s="393" t="n"/>
      <c r="Q239" s="393" t="n"/>
      <c r="R239" s="393" t="n"/>
      <c r="S239" s="393" t="n"/>
      <c r="T239" s="393" t="n"/>
      <c r="U239" s="355">
        <f>IF(B239="","",IF(IF(D239&lt;&gt;"",D239,IFERROR(INDEX('Dashboard Items'!$B$2:$B$495,MATCH(E239,'Dashboard Items'!$A$2:$A$495,0)),""))="Key Service",IF(O239="No","Key Service: shown, not counted","Counts in Key Service gauge"),IF(IF(D239&lt;&gt;"",D239,IFERROR(INDEX('Dashboard Items'!$B$2:$B$495,MATCH(E239,'Dashboard Items'!$A$2:$A$495,0)),""))="Program",IF(ISNUMBER(SEARCH("ks",G239)),IF(O239="No","Program, also at Key Service: not counted","Counts in Key Service gauge + sets Program chip"),IF(O239="No","Program: shown, no status chip","Sets Program status chip")),IF(IF(D239&lt;&gt;"",D239,IFERROR(INDEX('Dashboard Items'!$B$2:$B$495,MATCH(E239,'Dashboard Items'!$A$2:$A$495,0)),""))="Work System","Work System: shown, not counted","Check Level"))))</f>
        <v/>
      </c>
    </row>
    <row r="240" ht="15" customHeight="1" s="210">
      <c r="B240" s="393" t="n"/>
      <c r="C240" s="393" t="n"/>
      <c r="D240" s="393" t="n"/>
      <c r="E240" s="393" t="n"/>
      <c r="F240" s="394">
        <f>IF(E240="","",IFERROR(IF(INDEX('Dashboard Items'!$B$2:$B$495,MATCH(E240,'Dashboard Items'!$A$2:$A$495,0))="Objective","Objectives go in the next column",IF(OR(D240="",INDEX('Dashboard Items'!$B$2:$B$495,MATCH(E240,'Dashboard Items'!$A$2:$A$495,0))=D240),INDEX('Dashboard Items'!$C$2:$C$495,MATCH(E240,'Dashboard Items'!$A$2:$A$495,0)),"Level does not match ID")),"ID not found"))</f>
        <v/>
      </c>
      <c r="G240" s="395" t="n"/>
      <c r="H240" s="394">
        <f>IF(G240="","",IF(ISNUMBER(SEARCH(",",G240)),"Several items (the script lists them)",IFERROR(INDEX('Dashboard Items'!$B$2:$B$495,MATCH(G240,'Dashboard Items'!$A$2:$A$495,0))&amp;": "&amp;INDEX('Dashboard Items'!$C$2:$C$495,MATCH(G240,'Dashboard Items'!$A$2:$A$495,0)),"ID not found")))</f>
        <v/>
      </c>
      <c r="I240" s="393" t="n"/>
      <c r="J240" s="393" t="n"/>
      <c r="K240" s="393" t="n"/>
      <c r="L240" s="393" t="n"/>
      <c r="M240" s="393" t="n"/>
      <c r="N240" s="393" t="n"/>
      <c r="O240" s="393" t="n"/>
      <c r="P240" s="393" t="n"/>
      <c r="Q240" s="393" t="n"/>
      <c r="R240" s="393" t="n"/>
      <c r="S240" s="393" t="n"/>
      <c r="T240" s="393" t="n"/>
      <c r="U240" s="355">
        <f>IF(B240="","",IF(IF(D240&lt;&gt;"",D240,IFERROR(INDEX('Dashboard Items'!$B$2:$B$495,MATCH(E240,'Dashboard Items'!$A$2:$A$495,0)),""))="Key Service",IF(O240="No","Key Service: shown, not counted","Counts in Key Service gauge"),IF(IF(D240&lt;&gt;"",D240,IFERROR(INDEX('Dashboard Items'!$B$2:$B$495,MATCH(E240,'Dashboard Items'!$A$2:$A$495,0)),""))="Program",IF(ISNUMBER(SEARCH("ks",G240)),IF(O240="No","Program, also at Key Service: not counted","Counts in Key Service gauge + sets Program chip"),IF(O240="No","Program: shown, no status chip","Sets Program status chip")),IF(IF(D240&lt;&gt;"",D240,IFERROR(INDEX('Dashboard Items'!$B$2:$B$495,MATCH(E240,'Dashboard Items'!$A$2:$A$495,0)),""))="Work System","Work System: shown, not counted","Check Level"))))</f>
        <v/>
      </c>
    </row>
    <row r="241" ht="15" customHeight="1" s="210">
      <c r="B241" s="393" t="n"/>
      <c r="C241" s="393" t="n"/>
      <c r="D241" s="393" t="n"/>
      <c r="E241" s="393" t="n"/>
      <c r="F241" s="394">
        <f>IF(E241="","",IFERROR(IF(INDEX('Dashboard Items'!$B$2:$B$495,MATCH(E241,'Dashboard Items'!$A$2:$A$495,0))="Objective","Objectives go in the next column",IF(OR(D241="",INDEX('Dashboard Items'!$B$2:$B$495,MATCH(E241,'Dashboard Items'!$A$2:$A$495,0))=D241),INDEX('Dashboard Items'!$C$2:$C$495,MATCH(E241,'Dashboard Items'!$A$2:$A$495,0)),"Level does not match ID")),"ID not found"))</f>
        <v/>
      </c>
      <c r="G241" s="395" t="n"/>
      <c r="H241" s="394">
        <f>IF(G241="","",IF(ISNUMBER(SEARCH(",",G241)),"Several items (the script lists them)",IFERROR(INDEX('Dashboard Items'!$B$2:$B$495,MATCH(G241,'Dashboard Items'!$A$2:$A$495,0))&amp;": "&amp;INDEX('Dashboard Items'!$C$2:$C$495,MATCH(G241,'Dashboard Items'!$A$2:$A$495,0)),"ID not found")))</f>
        <v/>
      </c>
      <c r="I241" s="393" t="n"/>
      <c r="J241" s="393" t="n"/>
      <c r="K241" s="393" t="n"/>
      <c r="L241" s="393" t="n"/>
      <c r="M241" s="393" t="n"/>
      <c r="N241" s="393" t="n"/>
      <c r="O241" s="393" t="n"/>
      <c r="P241" s="393" t="n"/>
      <c r="Q241" s="393" t="n"/>
      <c r="R241" s="393" t="n"/>
      <c r="S241" s="393" t="n"/>
      <c r="T241" s="393" t="n"/>
      <c r="U241" s="355">
        <f>IF(B241="","",IF(IF(D241&lt;&gt;"",D241,IFERROR(INDEX('Dashboard Items'!$B$2:$B$495,MATCH(E241,'Dashboard Items'!$A$2:$A$495,0)),""))="Key Service",IF(O241="No","Key Service: shown, not counted","Counts in Key Service gauge"),IF(IF(D241&lt;&gt;"",D241,IFERROR(INDEX('Dashboard Items'!$B$2:$B$495,MATCH(E241,'Dashboard Items'!$A$2:$A$495,0)),""))="Program",IF(ISNUMBER(SEARCH("ks",G241)),IF(O241="No","Program, also at Key Service: not counted","Counts in Key Service gauge + sets Program chip"),IF(O241="No","Program: shown, no status chip","Sets Program status chip")),IF(IF(D241&lt;&gt;"",D241,IFERROR(INDEX('Dashboard Items'!$B$2:$B$495,MATCH(E241,'Dashboard Items'!$A$2:$A$495,0)),""))="Work System","Work System: shown, not counted","Check Level"))))</f>
        <v/>
      </c>
    </row>
    <row r="242" ht="15" customHeight="1" s="210">
      <c r="B242" s="393" t="n"/>
      <c r="C242" s="393" t="n"/>
      <c r="D242" s="393" t="n"/>
      <c r="E242" s="393" t="n"/>
      <c r="F242" s="394">
        <f>IF(E242="","",IFERROR(IF(INDEX('Dashboard Items'!$B$2:$B$495,MATCH(E242,'Dashboard Items'!$A$2:$A$495,0))="Objective","Objectives go in the next column",IF(OR(D242="",INDEX('Dashboard Items'!$B$2:$B$495,MATCH(E242,'Dashboard Items'!$A$2:$A$495,0))=D242),INDEX('Dashboard Items'!$C$2:$C$495,MATCH(E242,'Dashboard Items'!$A$2:$A$495,0)),"Level does not match ID")),"ID not found"))</f>
        <v/>
      </c>
      <c r="G242" s="395" t="n"/>
      <c r="H242" s="394">
        <f>IF(G242="","",IF(ISNUMBER(SEARCH(",",G242)),"Several items (the script lists them)",IFERROR(INDEX('Dashboard Items'!$B$2:$B$495,MATCH(G242,'Dashboard Items'!$A$2:$A$495,0))&amp;": "&amp;INDEX('Dashboard Items'!$C$2:$C$495,MATCH(G242,'Dashboard Items'!$A$2:$A$495,0)),"ID not found")))</f>
        <v/>
      </c>
      <c r="I242" s="393" t="n"/>
      <c r="J242" s="393" t="n"/>
      <c r="K242" s="393" t="n"/>
      <c r="L242" s="393" t="n"/>
      <c r="M242" s="393" t="n"/>
      <c r="N242" s="393" t="n"/>
      <c r="O242" s="393" t="n"/>
      <c r="P242" s="393" t="n"/>
      <c r="Q242" s="393" t="n"/>
      <c r="R242" s="393" t="n"/>
      <c r="S242" s="393" t="n"/>
      <c r="T242" s="393" t="n"/>
      <c r="U242" s="355">
        <f>IF(B242="","",IF(IF(D242&lt;&gt;"",D242,IFERROR(INDEX('Dashboard Items'!$B$2:$B$495,MATCH(E242,'Dashboard Items'!$A$2:$A$495,0)),""))="Key Service",IF(O242="No","Key Service: shown, not counted","Counts in Key Service gauge"),IF(IF(D242&lt;&gt;"",D242,IFERROR(INDEX('Dashboard Items'!$B$2:$B$495,MATCH(E242,'Dashboard Items'!$A$2:$A$495,0)),""))="Program",IF(ISNUMBER(SEARCH("ks",G242)),IF(O242="No","Program, also at Key Service: not counted","Counts in Key Service gauge + sets Program chip"),IF(O242="No","Program: shown, no status chip","Sets Program status chip")),IF(IF(D242&lt;&gt;"",D242,IFERROR(INDEX('Dashboard Items'!$B$2:$B$495,MATCH(E242,'Dashboard Items'!$A$2:$A$495,0)),""))="Work System","Work System: shown, not counted","Check Level"))))</f>
        <v/>
      </c>
    </row>
    <row r="243" ht="15" customHeight="1" s="210">
      <c r="B243" s="393" t="n"/>
      <c r="C243" s="393" t="n"/>
      <c r="D243" s="393" t="n"/>
      <c r="E243" s="393" t="n"/>
      <c r="F243" s="394">
        <f>IF(E243="","",IFERROR(IF(INDEX('Dashboard Items'!$B$2:$B$495,MATCH(E243,'Dashboard Items'!$A$2:$A$495,0))="Objective","Objectives go in the next column",IF(OR(D243="",INDEX('Dashboard Items'!$B$2:$B$495,MATCH(E243,'Dashboard Items'!$A$2:$A$495,0))=D243),INDEX('Dashboard Items'!$C$2:$C$495,MATCH(E243,'Dashboard Items'!$A$2:$A$495,0)),"Level does not match ID")),"ID not found"))</f>
        <v/>
      </c>
      <c r="G243" s="395" t="n"/>
      <c r="H243" s="394">
        <f>IF(G243="","",IF(ISNUMBER(SEARCH(",",G243)),"Several items (the script lists them)",IFERROR(INDEX('Dashboard Items'!$B$2:$B$495,MATCH(G243,'Dashboard Items'!$A$2:$A$495,0))&amp;": "&amp;INDEX('Dashboard Items'!$C$2:$C$495,MATCH(G243,'Dashboard Items'!$A$2:$A$495,0)),"ID not found")))</f>
        <v/>
      </c>
      <c r="I243" s="393" t="n"/>
      <c r="J243" s="393" t="n"/>
      <c r="K243" s="393" t="n"/>
      <c r="L243" s="393" t="n"/>
      <c r="M243" s="393" t="n"/>
      <c r="N243" s="393" t="n"/>
      <c r="O243" s="393" t="n"/>
      <c r="P243" s="393" t="n"/>
      <c r="Q243" s="393" t="n"/>
      <c r="R243" s="393" t="n"/>
      <c r="S243" s="393" t="n"/>
      <c r="T243" s="393" t="n"/>
      <c r="U243" s="355">
        <f>IF(B243="","",IF(IF(D243&lt;&gt;"",D243,IFERROR(INDEX('Dashboard Items'!$B$2:$B$495,MATCH(E243,'Dashboard Items'!$A$2:$A$495,0)),""))="Key Service",IF(O243="No","Key Service: shown, not counted","Counts in Key Service gauge"),IF(IF(D243&lt;&gt;"",D243,IFERROR(INDEX('Dashboard Items'!$B$2:$B$495,MATCH(E243,'Dashboard Items'!$A$2:$A$495,0)),""))="Program",IF(ISNUMBER(SEARCH("ks",G243)),IF(O243="No","Program, also at Key Service: not counted","Counts in Key Service gauge + sets Program chip"),IF(O243="No","Program: shown, no status chip","Sets Program status chip")),IF(IF(D243&lt;&gt;"",D243,IFERROR(INDEX('Dashboard Items'!$B$2:$B$495,MATCH(E243,'Dashboard Items'!$A$2:$A$495,0)),""))="Work System","Work System: shown, not counted","Check Level"))))</f>
        <v/>
      </c>
    </row>
    <row r="244" ht="15" customHeight="1" s="210">
      <c r="B244" s="393" t="n"/>
      <c r="C244" s="393" t="n"/>
      <c r="D244" s="393" t="n"/>
      <c r="E244" s="393" t="n"/>
      <c r="F244" s="394">
        <f>IF(E244="","",IFERROR(IF(INDEX('Dashboard Items'!$B$2:$B$495,MATCH(E244,'Dashboard Items'!$A$2:$A$495,0))="Objective","Objectives go in the next column",IF(OR(D244="",INDEX('Dashboard Items'!$B$2:$B$495,MATCH(E244,'Dashboard Items'!$A$2:$A$495,0))=D244),INDEX('Dashboard Items'!$C$2:$C$495,MATCH(E244,'Dashboard Items'!$A$2:$A$495,0)),"Level does not match ID")),"ID not found"))</f>
        <v/>
      </c>
      <c r="G244" s="395" t="n"/>
      <c r="H244" s="394">
        <f>IF(G244="","",IF(ISNUMBER(SEARCH(",",G244)),"Several items (the script lists them)",IFERROR(INDEX('Dashboard Items'!$B$2:$B$495,MATCH(G244,'Dashboard Items'!$A$2:$A$495,0))&amp;": "&amp;INDEX('Dashboard Items'!$C$2:$C$495,MATCH(G244,'Dashboard Items'!$A$2:$A$495,0)),"ID not found")))</f>
        <v/>
      </c>
      <c r="I244" s="393" t="n"/>
      <c r="J244" s="393" t="n"/>
      <c r="K244" s="393" t="n"/>
      <c r="L244" s="393" t="n"/>
      <c r="M244" s="393" t="n"/>
      <c r="N244" s="393" t="n"/>
      <c r="O244" s="393" t="n"/>
      <c r="P244" s="393" t="n"/>
      <c r="Q244" s="393" t="n"/>
      <c r="R244" s="393" t="n"/>
      <c r="S244" s="393" t="n"/>
      <c r="T244" s="393" t="n"/>
      <c r="U244" s="355">
        <f>IF(B244="","",IF(IF(D244&lt;&gt;"",D244,IFERROR(INDEX('Dashboard Items'!$B$2:$B$495,MATCH(E244,'Dashboard Items'!$A$2:$A$495,0)),""))="Key Service",IF(O244="No","Key Service: shown, not counted","Counts in Key Service gauge"),IF(IF(D244&lt;&gt;"",D244,IFERROR(INDEX('Dashboard Items'!$B$2:$B$495,MATCH(E244,'Dashboard Items'!$A$2:$A$495,0)),""))="Program",IF(ISNUMBER(SEARCH("ks",G244)),IF(O244="No","Program, also at Key Service: not counted","Counts in Key Service gauge + sets Program chip"),IF(O244="No","Program: shown, no status chip","Sets Program status chip")),IF(IF(D244&lt;&gt;"",D244,IFERROR(INDEX('Dashboard Items'!$B$2:$B$495,MATCH(E244,'Dashboard Items'!$A$2:$A$495,0)),""))="Work System","Work System: shown, not counted","Check Level"))))</f>
        <v/>
      </c>
    </row>
    <row r="245" ht="15" customHeight="1" s="210">
      <c r="B245" s="393" t="n"/>
      <c r="C245" s="393" t="n"/>
      <c r="D245" s="393" t="n"/>
      <c r="E245" s="393" t="n"/>
      <c r="F245" s="394">
        <f>IF(E245="","",IFERROR(IF(INDEX('Dashboard Items'!$B$2:$B$495,MATCH(E245,'Dashboard Items'!$A$2:$A$495,0))="Objective","Objectives go in the next column",IF(OR(D245="",INDEX('Dashboard Items'!$B$2:$B$495,MATCH(E245,'Dashboard Items'!$A$2:$A$495,0))=D245),INDEX('Dashboard Items'!$C$2:$C$495,MATCH(E245,'Dashboard Items'!$A$2:$A$495,0)),"Level does not match ID")),"ID not found"))</f>
        <v/>
      </c>
      <c r="G245" s="395" t="n"/>
      <c r="H245" s="394">
        <f>IF(G245="","",IF(ISNUMBER(SEARCH(",",G245)),"Several items (the script lists them)",IFERROR(INDEX('Dashboard Items'!$B$2:$B$495,MATCH(G245,'Dashboard Items'!$A$2:$A$495,0))&amp;": "&amp;INDEX('Dashboard Items'!$C$2:$C$495,MATCH(G245,'Dashboard Items'!$A$2:$A$495,0)),"ID not found")))</f>
        <v/>
      </c>
      <c r="I245" s="393" t="n"/>
      <c r="J245" s="393" t="n"/>
      <c r="K245" s="393" t="n"/>
      <c r="L245" s="393" t="n"/>
      <c r="M245" s="393" t="n"/>
      <c r="N245" s="393" t="n"/>
      <c r="O245" s="393" t="n"/>
      <c r="P245" s="393" t="n"/>
      <c r="Q245" s="393" t="n"/>
      <c r="R245" s="393" t="n"/>
      <c r="S245" s="393" t="n"/>
      <c r="T245" s="393" t="n"/>
      <c r="U245" s="355">
        <f>IF(B245="","",IF(IF(D245&lt;&gt;"",D245,IFERROR(INDEX('Dashboard Items'!$B$2:$B$495,MATCH(E245,'Dashboard Items'!$A$2:$A$495,0)),""))="Key Service",IF(O245="No","Key Service: shown, not counted","Counts in Key Service gauge"),IF(IF(D245&lt;&gt;"",D245,IFERROR(INDEX('Dashboard Items'!$B$2:$B$495,MATCH(E245,'Dashboard Items'!$A$2:$A$495,0)),""))="Program",IF(ISNUMBER(SEARCH("ks",G245)),IF(O245="No","Program, also at Key Service: not counted","Counts in Key Service gauge + sets Program chip"),IF(O245="No","Program: shown, no status chip","Sets Program status chip")),IF(IF(D245&lt;&gt;"",D245,IFERROR(INDEX('Dashboard Items'!$B$2:$B$495,MATCH(E245,'Dashboard Items'!$A$2:$A$495,0)),""))="Work System","Work System: shown, not counted","Check Level"))))</f>
        <v/>
      </c>
    </row>
    <row r="246" ht="15" customHeight="1" s="210">
      <c r="B246" s="393" t="n"/>
      <c r="C246" s="393" t="n"/>
      <c r="D246" s="393" t="n"/>
      <c r="E246" s="393" t="n"/>
      <c r="F246" s="394">
        <f>IF(E246="","",IFERROR(IF(INDEX('Dashboard Items'!$B$2:$B$495,MATCH(E246,'Dashboard Items'!$A$2:$A$495,0))="Objective","Objectives go in the next column",IF(OR(D246="",INDEX('Dashboard Items'!$B$2:$B$495,MATCH(E246,'Dashboard Items'!$A$2:$A$495,0))=D246),INDEX('Dashboard Items'!$C$2:$C$495,MATCH(E246,'Dashboard Items'!$A$2:$A$495,0)),"Level does not match ID")),"ID not found"))</f>
        <v/>
      </c>
      <c r="G246" s="395" t="n"/>
      <c r="H246" s="394">
        <f>IF(G246="","",IF(ISNUMBER(SEARCH(",",G246)),"Several items (the script lists them)",IFERROR(INDEX('Dashboard Items'!$B$2:$B$495,MATCH(G246,'Dashboard Items'!$A$2:$A$495,0))&amp;": "&amp;INDEX('Dashboard Items'!$C$2:$C$495,MATCH(G246,'Dashboard Items'!$A$2:$A$495,0)),"ID not found")))</f>
        <v/>
      </c>
      <c r="I246" s="393" t="n"/>
      <c r="J246" s="393" t="n"/>
      <c r="K246" s="393" t="n"/>
      <c r="L246" s="393" t="n"/>
      <c r="M246" s="393" t="n"/>
      <c r="N246" s="393" t="n"/>
      <c r="O246" s="393" t="n"/>
      <c r="P246" s="393" t="n"/>
      <c r="Q246" s="393" t="n"/>
      <c r="R246" s="393" t="n"/>
      <c r="S246" s="393" t="n"/>
      <c r="T246" s="393" t="n"/>
      <c r="U246" s="355">
        <f>IF(B246="","",IF(IF(D246&lt;&gt;"",D246,IFERROR(INDEX('Dashboard Items'!$B$2:$B$495,MATCH(E246,'Dashboard Items'!$A$2:$A$495,0)),""))="Key Service",IF(O246="No","Key Service: shown, not counted","Counts in Key Service gauge"),IF(IF(D246&lt;&gt;"",D246,IFERROR(INDEX('Dashboard Items'!$B$2:$B$495,MATCH(E246,'Dashboard Items'!$A$2:$A$495,0)),""))="Program",IF(ISNUMBER(SEARCH("ks",G246)),IF(O246="No","Program, also at Key Service: not counted","Counts in Key Service gauge + sets Program chip"),IF(O246="No","Program: shown, no status chip","Sets Program status chip")),IF(IF(D246&lt;&gt;"",D246,IFERROR(INDEX('Dashboard Items'!$B$2:$B$495,MATCH(E246,'Dashboard Items'!$A$2:$A$495,0)),""))="Work System","Work System: shown, not counted","Check Level"))))</f>
        <v/>
      </c>
    </row>
    <row r="247" ht="15" customHeight="1" s="210">
      <c r="B247" s="393" t="n"/>
      <c r="C247" s="393" t="n"/>
      <c r="D247" s="393" t="n"/>
      <c r="E247" s="393" t="n"/>
      <c r="F247" s="394">
        <f>IF(E247="","",IFERROR(IF(INDEX('Dashboard Items'!$B$2:$B$495,MATCH(E247,'Dashboard Items'!$A$2:$A$495,0))="Objective","Objectives go in the next column",IF(OR(D247="",INDEX('Dashboard Items'!$B$2:$B$495,MATCH(E247,'Dashboard Items'!$A$2:$A$495,0))=D247),INDEX('Dashboard Items'!$C$2:$C$495,MATCH(E247,'Dashboard Items'!$A$2:$A$495,0)),"Level does not match ID")),"ID not found"))</f>
        <v/>
      </c>
      <c r="G247" s="395" t="n"/>
      <c r="H247" s="394">
        <f>IF(G247="","",IF(ISNUMBER(SEARCH(",",G247)),"Several items (the script lists them)",IFERROR(INDEX('Dashboard Items'!$B$2:$B$495,MATCH(G247,'Dashboard Items'!$A$2:$A$495,0))&amp;": "&amp;INDEX('Dashboard Items'!$C$2:$C$495,MATCH(G247,'Dashboard Items'!$A$2:$A$495,0)),"ID not found")))</f>
        <v/>
      </c>
      <c r="I247" s="393" t="n"/>
      <c r="J247" s="393" t="n"/>
      <c r="K247" s="393" t="n"/>
      <c r="L247" s="393" t="n"/>
      <c r="M247" s="393" t="n"/>
      <c r="N247" s="393" t="n"/>
      <c r="O247" s="393" t="n"/>
      <c r="P247" s="393" t="n"/>
      <c r="Q247" s="393" t="n"/>
      <c r="R247" s="393" t="n"/>
      <c r="S247" s="393" t="n"/>
      <c r="T247" s="393" t="n"/>
      <c r="U247" s="355">
        <f>IF(B247="","",IF(IF(D247&lt;&gt;"",D247,IFERROR(INDEX('Dashboard Items'!$B$2:$B$495,MATCH(E247,'Dashboard Items'!$A$2:$A$495,0)),""))="Key Service",IF(O247="No","Key Service: shown, not counted","Counts in Key Service gauge"),IF(IF(D247&lt;&gt;"",D247,IFERROR(INDEX('Dashboard Items'!$B$2:$B$495,MATCH(E247,'Dashboard Items'!$A$2:$A$495,0)),""))="Program",IF(ISNUMBER(SEARCH("ks",G247)),IF(O247="No","Program, also at Key Service: not counted","Counts in Key Service gauge + sets Program chip"),IF(O247="No","Program: shown, no status chip","Sets Program status chip")),IF(IF(D247&lt;&gt;"",D247,IFERROR(INDEX('Dashboard Items'!$B$2:$B$495,MATCH(E247,'Dashboard Items'!$A$2:$A$495,0)),""))="Work System","Work System: shown, not counted","Check Level"))))</f>
        <v/>
      </c>
    </row>
    <row r="248" ht="15" customHeight="1" s="210">
      <c r="B248" s="393" t="n"/>
      <c r="C248" s="393" t="n"/>
      <c r="D248" s="393" t="n"/>
      <c r="E248" s="393" t="n"/>
      <c r="F248" s="394">
        <f>IF(E248="","",IFERROR(IF(INDEX('Dashboard Items'!$B$2:$B$495,MATCH(E248,'Dashboard Items'!$A$2:$A$495,0))="Objective","Objectives go in the next column",IF(OR(D248="",INDEX('Dashboard Items'!$B$2:$B$495,MATCH(E248,'Dashboard Items'!$A$2:$A$495,0))=D248),INDEX('Dashboard Items'!$C$2:$C$495,MATCH(E248,'Dashboard Items'!$A$2:$A$495,0)),"Level does not match ID")),"ID not found"))</f>
        <v/>
      </c>
      <c r="G248" s="395" t="n"/>
      <c r="H248" s="394">
        <f>IF(G248="","",IF(ISNUMBER(SEARCH(",",G248)),"Several items (the script lists them)",IFERROR(INDEX('Dashboard Items'!$B$2:$B$495,MATCH(G248,'Dashboard Items'!$A$2:$A$495,0))&amp;": "&amp;INDEX('Dashboard Items'!$C$2:$C$495,MATCH(G248,'Dashboard Items'!$A$2:$A$495,0)),"ID not found")))</f>
        <v/>
      </c>
      <c r="I248" s="393" t="n"/>
      <c r="J248" s="393" t="n"/>
      <c r="K248" s="393" t="n"/>
      <c r="L248" s="393" t="n"/>
      <c r="M248" s="393" t="n"/>
      <c r="N248" s="393" t="n"/>
      <c r="O248" s="393" t="n"/>
      <c r="P248" s="393" t="n"/>
      <c r="Q248" s="393" t="n"/>
      <c r="R248" s="393" t="n"/>
      <c r="S248" s="393" t="n"/>
      <c r="T248" s="393" t="n"/>
      <c r="U248" s="355">
        <f>IF(B248="","",IF(IF(D248&lt;&gt;"",D248,IFERROR(INDEX('Dashboard Items'!$B$2:$B$495,MATCH(E248,'Dashboard Items'!$A$2:$A$495,0)),""))="Key Service",IF(O248="No","Key Service: shown, not counted","Counts in Key Service gauge"),IF(IF(D248&lt;&gt;"",D248,IFERROR(INDEX('Dashboard Items'!$B$2:$B$495,MATCH(E248,'Dashboard Items'!$A$2:$A$495,0)),""))="Program",IF(ISNUMBER(SEARCH("ks",G248)),IF(O248="No","Program, also at Key Service: not counted","Counts in Key Service gauge + sets Program chip"),IF(O248="No","Program: shown, no status chip","Sets Program status chip")),IF(IF(D248&lt;&gt;"",D248,IFERROR(INDEX('Dashboard Items'!$B$2:$B$495,MATCH(E248,'Dashboard Items'!$A$2:$A$495,0)),""))="Work System","Work System: shown, not counted","Check Level"))))</f>
        <v/>
      </c>
    </row>
    <row r="249" ht="15" customHeight="1" s="210">
      <c r="B249" s="393" t="n"/>
      <c r="C249" s="393" t="n"/>
      <c r="D249" s="393" t="n"/>
      <c r="E249" s="393" t="n"/>
      <c r="F249" s="394">
        <f>IF(E249="","",IFERROR(IF(INDEX('Dashboard Items'!$B$2:$B$495,MATCH(E249,'Dashboard Items'!$A$2:$A$495,0))="Objective","Objectives go in the next column",IF(OR(D249="",INDEX('Dashboard Items'!$B$2:$B$495,MATCH(E249,'Dashboard Items'!$A$2:$A$495,0))=D249),INDEX('Dashboard Items'!$C$2:$C$495,MATCH(E249,'Dashboard Items'!$A$2:$A$495,0)),"Level does not match ID")),"ID not found"))</f>
        <v/>
      </c>
      <c r="G249" s="395" t="n"/>
      <c r="H249" s="394">
        <f>IF(G249="","",IF(ISNUMBER(SEARCH(",",G249)),"Several items (the script lists them)",IFERROR(INDEX('Dashboard Items'!$B$2:$B$495,MATCH(G249,'Dashboard Items'!$A$2:$A$495,0))&amp;": "&amp;INDEX('Dashboard Items'!$C$2:$C$495,MATCH(G249,'Dashboard Items'!$A$2:$A$495,0)),"ID not found")))</f>
        <v/>
      </c>
      <c r="I249" s="393" t="n"/>
      <c r="J249" s="393" t="n"/>
      <c r="K249" s="393" t="n"/>
      <c r="L249" s="393" t="n"/>
      <c r="M249" s="393" t="n"/>
      <c r="N249" s="393" t="n"/>
      <c r="O249" s="393" t="n"/>
      <c r="P249" s="393" t="n"/>
      <c r="Q249" s="393" t="n"/>
      <c r="R249" s="393" t="n"/>
      <c r="S249" s="393" t="n"/>
      <c r="T249" s="393" t="n"/>
      <c r="U249" s="355">
        <f>IF(B249="","",IF(IF(D249&lt;&gt;"",D249,IFERROR(INDEX('Dashboard Items'!$B$2:$B$495,MATCH(E249,'Dashboard Items'!$A$2:$A$495,0)),""))="Key Service",IF(O249="No","Key Service: shown, not counted","Counts in Key Service gauge"),IF(IF(D249&lt;&gt;"",D249,IFERROR(INDEX('Dashboard Items'!$B$2:$B$495,MATCH(E249,'Dashboard Items'!$A$2:$A$495,0)),""))="Program",IF(ISNUMBER(SEARCH("ks",G249)),IF(O249="No","Program, also at Key Service: not counted","Counts in Key Service gauge + sets Program chip"),IF(O249="No","Program: shown, no status chip","Sets Program status chip")),IF(IF(D249&lt;&gt;"",D249,IFERROR(INDEX('Dashboard Items'!$B$2:$B$495,MATCH(E249,'Dashboard Items'!$A$2:$A$495,0)),""))="Work System","Work System: shown, not counted","Check Level"))))</f>
        <v/>
      </c>
    </row>
    <row r="250" ht="15" customHeight="1" s="210">
      <c r="B250" s="393" t="n"/>
      <c r="C250" s="393" t="n"/>
      <c r="D250" s="393" t="n"/>
      <c r="E250" s="393" t="n"/>
      <c r="F250" s="394">
        <f>IF(E250="","",IFERROR(IF(INDEX('Dashboard Items'!$B$2:$B$495,MATCH(E250,'Dashboard Items'!$A$2:$A$495,0))="Objective","Objectives go in the next column",IF(OR(D250="",INDEX('Dashboard Items'!$B$2:$B$495,MATCH(E250,'Dashboard Items'!$A$2:$A$495,0))=D250),INDEX('Dashboard Items'!$C$2:$C$495,MATCH(E250,'Dashboard Items'!$A$2:$A$495,0)),"Level does not match ID")),"ID not found"))</f>
        <v/>
      </c>
      <c r="G250" s="395" t="n"/>
      <c r="H250" s="394">
        <f>IF(G250="","",IF(ISNUMBER(SEARCH(",",G250)),"Several items (the script lists them)",IFERROR(INDEX('Dashboard Items'!$B$2:$B$495,MATCH(G250,'Dashboard Items'!$A$2:$A$495,0))&amp;": "&amp;INDEX('Dashboard Items'!$C$2:$C$495,MATCH(G250,'Dashboard Items'!$A$2:$A$495,0)),"ID not found")))</f>
        <v/>
      </c>
      <c r="I250" s="393" t="n"/>
      <c r="J250" s="393" t="n"/>
      <c r="K250" s="393" t="n"/>
      <c r="L250" s="393" t="n"/>
      <c r="M250" s="393" t="n"/>
      <c r="N250" s="393" t="n"/>
      <c r="O250" s="393" t="n"/>
      <c r="P250" s="393" t="n"/>
      <c r="Q250" s="393" t="n"/>
      <c r="R250" s="393" t="n"/>
      <c r="S250" s="393" t="n"/>
      <c r="T250" s="393" t="n"/>
      <c r="U250" s="355">
        <f>IF(B250="","",IF(IF(D250&lt;&gt;"",D250,IFERROR(INDEX('Dashboard Items'!$B$2:$B$495,MATCH(E250,'Dashboard Items'!$A$2:$A$495,0)),""))="Key Service",IF(O250="No","Key Service: shown, not counted","Counts in Key Service gauge"),IF(IF(D250&lt;&gt;"",D250,IFERROR(INDEX('Dashboard Items'!$B$2:$B$495,MATCH(E250,'Dashboard Items'!$A$2:$A$495,0)),""))="Program",IF(ISNUMBER(SEARCH("ks",G250)),IF(O250="No","Program, also at Key Service: not counted","Counts in Key Service gauge + sets Program chip"),IF(O250="No","Program: shown, no status chip","Sets Program status chip")),IF(IF(D250&lt;&gt;"",D250,IFERROR(INDEX('Dashboard Items'!$B$2:$B$495,MATCH(E250,'Dashboard Items'!$A$2:$A$495,0)),""))="Work System","Work System: shown, not counted","Check Level"))))</f>
        <v/>
      </c>
    </row>
    <row r="251" ht="15" customHeight="1" s="210">
      <c r="B251" s="393" t="n"/>
      <c r="C251" s="393" t="n"/>
      <c r="D251" s="393" t="n"/>
      <c r="E251" s="393" t="n"/>
      <c r="F251" s="394">
        <f>IF(E251="","",IFERROR(IF(INDEX('Dashboard Items'!$B$2:$B$495,MATCH(E251,'Dashboard Items'!$A$2:$A$495,0))="Objective","Objectives go in the next column",IF(OR(D251="",INDEX('Dashboard Items'!$B$2:$B$495,MATCH(E251,'Dashboard Items'!$A$2:$A$495,0))=D251),INDEX('Dashboard Items'!$C$2:$C$495,MATCH(E251,'Dashboard Items'!$A$2:$A$495,0)),"Level does not match ID")),"ID not found"))</f>
        <v/>
      </c>
      <c r="G251" s="395" t="n"/>
      <c r="H251" s="394">
        <f>IF(G251="","",IF(ISNUMBER(SEARCH(",",G251)),"Several items (the script lists them)",IFERROR(INDEX('Dashboard Items'!$B$2:$B$495,MATCH(G251,'Dashboard Items'!$A$2:$A$495,0))&amp;": "&amp;INDEX('Dashboard Items'!$C$2:$C$495,MATCH(G251,'Dashboard Items'!$A$2:$A$495,0)),"ID not found")))</f>
        <v/>
      </c>
      <c r="I251" s="393" t="n"/>
      <c r="J251" s="393" t="n"/>
      <c r="K251" s="393" t="n"/>
      <c r="L251" s="393" t="n"/>
      <c r="M251" s="393" t="n"/>
      <c r="N251" s="393" t="n"/>
      <c r="O251" s="393" t="n"/>
      <c r="P251" s="393" t="n"/>
      <c r="Q251" s="393" t="n"/>
      <c r="R251" s="393" t="n"/>
      <c r="S251" s="393" t="n"/>
      <c r="T251" s="393" t="n"/>
      <c r="U251" s="355">
        <f>IF(B251="","",IF(IF(D251&lt;&gt;"",D251,IFERROR(INDEX('Dashboard Items'!$B$2:$B$495,MATCH(E251,'Dashboard Items'!$A$2:$A$495,0)),""))="Key Service",IF(O251="No","Key Service: shown, not counted","Counts in Key Service gauge"),IF(IF(D251&lt;&gt;"",D251,IFERROR(INDEX('Dashboard Items'!$B$2:$B$495,MATCH(E251,'Dashboard Items'!$A$2:$A$495,0)),""))="Program",IF(ISNUMBER(SEARCH("ks",G251)),IF(O251="No","Program, also at Key Service: not counted","Counts in Key Service gauge + sets Program chip"),IF(O251="No","Program: shown, no status chip","Sets Program status chip")),IF(IF(D251&lt;&gt;"",D251,IFERROR(INDEX('Dashboard Items'!$B$2:$B$495,MATCH(E251,'Dashboard Items'!$A$2:$A$495,0)),""))="Work System","Work System: shown, not counted","Check Level"))))</f>
        <v/>
      </c>
    </row>
    <row r="252" ht="15" customHeight="1" s="210">
      <c r="B252" s="393" t="n"/>
      <c r="C252" s="393" t="n"/>
      <c r="D252" s="393" t="n"/>
      <c r="E252" s="393" t="n"/>
      <c r="F252" s="394">
        <f>IF(E252="","",IFERROR(IF(INDEX('Dashboard Items'!$B$2:$B$495,MATCH(E252,'Dashboard Items'!$A$2:$A$495,0))="Objective","Objectives go in the next column",IF(OR(D252="",INDEX('Dashboard Items'!$B$2:$B$495,MATCH(E252,'Dashboard Items'!$A$2:$A$495,0))=D252),INDEX('Dashboard Items'!$C$2:$C$495,MATCH(E252,'Dashboard Items'!$A$2:$A$495,0)),"Level does not match ID")),"ID not found"))</f>
        <v/>
      </c>
      <c r="G252" s="395" t="n"/>
      <c r="H252" s="394">
        <f>IF(G252="","",IF(ISNUMBER(SEARCH(",",G252)),"Several items (the script lists them)",IFERROR(INDEX('Dashboard Items'!$B$2:$B$495,MATCH(G252,'Dashboard Items'!$A$2:$A$495,0))&amp;": "&amp;INDEX('Dashboard Items'!$C$2:$C$495,MATCH(G252,'Dashboard Items'!$A$2:$A$495,0)),"ID not found")))</f>
        <v/>
      </c>
      <c r="I252" s="393" t="n"/>
      <c r="J252" s="393" t="n"/>
      <c r="K252" s="393" t="n"/>
      <c r="L252" s="393" t="n"/>
      <c r="M252" s="393" t="n"/>
      <c r="N252" s="393" t="n"/>
      <c r="O252" s="393" t="n"/>
      <c r="P252" s="393" t="n"/>
      <c r="Q252" s="393" t="n"/>
      <c r="R252" s="393" t="n"/>
      <c r="S252" s="393" t="n"/>
      <c r="T252" s="393" t="n"/>
      <c r="U252" s="355">
        <f>IF(B252="","",IF(IF(D252&lt;&gt;"",D252,IFERROR(INDEX('Dashboard Items'!$B$2:$B$495,MATCH(E252,'Dashboard Items'!$A$2:$A$495,0)),""))="Key Service",IF(O252="No","Key Service: shown, not counted","Counts in Key Service gauge"),IF(IF(D252&lt;&gt;"",D252,IFERROR(INDEX('Dashboard Items'!$B$2:$B$495,MATCH(E252,'Dashboard Items'!$A$2:$A$495,0)),""))="Program",IF(ISNUMBER(SEARCH("ks",G252)),IF(O252="No","Program, also at Key Service: not counted","Counts in Key Service gauge + sets Program chip"),IF(O252="No","Program: shown, no status chip","Sets Program status chip")),IF(IF(D252&lt;&gt;"",D252,IFERROR(INDEX('Dashboard Items'!$B$2:$B$495,MATCH(E252,'Dashboard Items'!$A$2:$A$495,0)),""))="Work System","Work System: shown, not counted","Check Level"))))</f>
        <v/>
      </c>
    </row>
    <row r="253" ht="15" customHeight="1" s="210">
      <c r="B253" s="393" t="n"/>
      <c r="C253" s="393" t="n"/>
      <c r="D253" s="393" t="n"/>
      <c r="E253" s="393" t="n"/>
      <c r="F253" s="394">
        <f>IF(E253="","",IFERROR(IF(INDEX('Dashboard Items'!$B$2:$B$495,MATCH(E253,'Dashboard Items'!$A$2:$A$495,0))="Objective","Objectives go in the next column",IF(OR(D253="",INDEX('Dashboard Items'!$B$2:$B$495,MATCH(E253,'Dashboard Items'!$A$2:$A$495,0))=D253),INDEX('Dashboard Items'!$C$2:$C$495,MATCH(E253,'Dashboard Items'!$A$2:$A$495,0)),"Level does not match ID")),"ID not found"))</f>
        <v/>
      </c>
      <c r="G253" s="395" t="n"/>
      <c r="H253" s="394">
        <f>IF(G253="","",IF(ISNUMBER(SEARCH(",",G253)),"Several items (the script lists them)",IFERROR(INDEX('Dashboard Items'!$B$2:$B$495,MATCH(G253,'Dashboard Items'!$A$2:$A$495,0))&amp;": "&amp;INDEX('Dashboard Items'!$C$2:$C$495,MATCH(G253,'Dashboard Items'!$A$2:$A$495,0)),"ID not found")))</f>
        <v/>
      </c>
      <c r="I253" s="393" t="n"/>
      <c r="J253" s="393" t="n"/>
      <c r="K253" s="393" t="n"/>
      <c r="L253" s="393" t="n"/>
      <c r="M253" s="393" t="n"/>
      <c r="N253" s="393" t="n"/>
      <c r="O253" s="393" t="n"/>
      <c r="P253" s="393" t="n"/>
      <c r="Q253" s="393" t="n"/>
      <c r="R253" s="393" t="n"/>
      <c r="S253" s="393" t="n"/>
      <c r="T253" s="393" t="n"/>
      <c r="U253" s="355">
        <f>IF(B253="","",IF(IF(D253&lt;&gt;"",D253,IFERROR(INDEX('Dashboard Items'!$B$2:$B$495,MATCH(E253,'Dashboard Items'!$A$2:$A$495,0)),""))="Key Service",IF(O253="No","Key Service: shown, not counted","Counts in Key Service gauge"),IF(IF(D253&lt;&gt;"",D253,IFERROR(INDEX('Dashboard Items'!$B$2:$B$495,MATCH(E253,'Dashboard Items'!$A$2:$A$495,0)),""))="Program",IF(ISNUMBER(SEARCH("ks",G253)),IF(O253="No","Program, also at Key Service: not counted","Counts in Key Service gauge + sets Program chip"),IF(O253="No","Program: shown, no status chip","Sets Program status chip")),IF(IF(D253&lt;&gt;"",D253,IFERROR(INDEX('Dashboard Items'!$B$2:$B$495,MATCH(E253,'Dashboard Items'!$A$2:$A$495,0)),""))="Work System","Work System: shown, not counted","Check Level"))))</f>
        <v/>
      </c>
    </row>
    <row r="254" ht="15" customHeight="1" s="210">
      <c r="B254" s="393" t="n"/>
      <c r="C254" s="393" t="n"/>
      <c r="D254" s="393" t="n"/>
      <c r="E254" s="393" t="n"/>
      <c r="F254" s="394">
        <f>IF(E254="","",IFERROR(IF(INDEX('Dashboard Items'!$B$2:$B$495,MATCH(E254,'Dashboard Items'!$A$2:$A$495,0))="Objective","Objectives go in the next column",IF(OR(D254="",INDEX('Dashboard Items'!$B$2:$B$495,MATCH(E254,'Dashboard Items'!$A$2:$A$495,0))=D254),INDEX('Dashboard Items'!$C$2:$C$495,MATCH(E254,'Dashboard Items'!$A$2:$A$495,0)),"Level does not match ID")),"ID not found"))</f>
        <v/>
      </c>
      <c r="G254" s="395" t="n"/>
      <c r="H254" s="394">
        <f>IF(G254="","",IF(ISNUMBER(SEARCH(",",G254)),"Several items (the script lists them)",IFERROR(INDEX('Dashboard Items'!$B$2:$B$495,MATCH(G254,'Dashboard Items'!$A$2:$A$495,0))&amp;": "&amp;INDEX('Dashboard Items'!$C$2:$C$495,MATCH(G254,'Dashboard Items'!$A$2:$A$495,0)),"ID not found")))</f>
        <v/>
      </c>
      <c r="I254" s="393" t="n"/>
      <c r="J254" s="393" t="n"/>
      <c r="K254" s="393" t="n"/>
      <c r="L254" s="393" t="n"/>
      <c r="M254" s="393" t="n"/>
      <c r="N254" s="393" t="n"/>
      <c r="O254" s="393" t="n"/>
      <c r="P254" s="393" t="n"/>
      <c r="Q254" s="393" t="n"/>
      <c r="R254" s="393" t="n"/>
      <c r="S254" s="393" t="n"/>
      <c r="T254" s="393" t="n"/>
      <c r="U254" s="355">
        <f>IF(B254="","",IF(IF(D254&lt;&gt;"",D254,IFERROR(INDEX('Dashboard Items'!$B$2:$B$495,MATCH(E254,'Dashboard Items'!$A$2:$A$495,0)),""))="Key Service",IF(O254="No","Key Service: shown, not counted","Counts in Key Service gauge"),IF(IF(D254&lt;&gt;"",D254,IFERROR(INDEX('Dashboard Items'!$B$2:$B$495,MATCH(E254,'Dashboard Items'!$A$2:$A$495,0)),""))="Program",IF(ISNUMBER(SEARCH("ks",G254)),IF(O254="No","Program, also at Key Service: not counted","Counts in Key Service gauge + sets Program chip"),IF(O254="No","Program: shown, no status chip","Sets Program status chip")),IF(IF(D254&lt;&gt;"",D254,IFERROR(INDEX('Dashboard Items'!$B$2:$B$495,MATCH(E254,'Dashboard Items'!$A$2:$A$495,0)),""))="Work System","Work System: shown, not counted","Check Level"))))</f>
        <v/>
      </c>
    </row>
    <row r="255" ht="15" customHeight="1" s="210">
      <c r="B255" s="393" t="n"/>
      <c r="C255" s="393" t="n"/>
      <c r="D255" s="393" t="n"/>
      <c r="E255" s="393" t="n"/>
      <c r="F255" s="394">
        <f>IF(E255="","",IFERROR(IF(INDEX('Dashboard Items'!$B$2:$B$495,MATCH(E255,'Dashboard Items'!$A$2:$A$495,0))="Objective","Objectives go in the next column",IF(OR(D255="",INDEX('Dashboard Items'!$B$2:$B$495,MATCH(E255,'Dashboard Items'!$A$2:$A$495,0))=D255),INDEX('Dashboard Items'!$C$2:$C$495,MATCH(E255,'Dashboard Items'!$A$2:$A$495,0)),"Level does not match ID")),"ID not found"))</f>
        <v/>
      </c>
      <c r="G255" s="395" t="n"/>
      <c r="H255" s="394">
        <f>IF(G255="","",IF(ISNUMBER(SEARCH(",",G255)),"Several items (the script lists them)",IFERROR(INDEX('Dashboard Items'!$B$2:$B$495,MATCH(G255,'Dashboard Items'!$A$2:$A$495,0))&amp;": "&amp;INDEX('Dashboard Items'!$C$2:$C$495,MATCH(G255,'Dashboard Items'!$A$2:$A$495,0)),"ID not found")))</f>
        <v/>
      </c>
      <c r="I255" s="393" t="n"/>
      <c r="J255" s="393" t="n"/>
      <c r="K255" s="393" t="n"/>
      <c r="L255" s="393" t="n"/>
      <c r="M255" s="393" t="n"/>
      <c r="N255" s="393" t="n"/>
      <c r="O255" s="393" t="n"/>
      <c r="P255" s="393" t="n"/>
      <c r="Q255" s="393" t="n"/>
      <c r="R255" s="393" t="n"/>
      <c r="S255" s="393" t="n"/>
      <c r="T255" s="393" t="n"/>
      <c r="U255" s="355">
        <f>IF(B255="","",IF(IF(D255&lt;&gt;"",D255,IFERROR(INDEX('Dashboard Items'!$B$2:$B$495,MATCH(E255,'Dashboard Items'!$A$2:$A$495,0)),""))="Key Service",IF(O255="No","Key Service: shown, not counted","Counts in Key Service gauge"),IF(IF(D255&lt;&gt;"",D255,IFERROR(INDEX('Dashboard Items'!$B$2:$B$495,MATCH(E255,'Dashboard Items'!$A$2:$A$495,0)),""))="Program",IF(ISNUMBER(SEARCH("ks",G255)),IF(O255="No","Program, also at Key Service: not counted","Counts in Key Service gauge + sets Program chip"),IF(O255="No","Program: shown, no status chip","Sets Program status chip")),IF(IF(D255&lt;&gt;"",D255,IFERROR(INDEX('Dashboard Items'!$B$2:$B$495,MATCH(E255,'Dashboard Items'!$A$2:$A$495,0)),""))="Work System","Work System: shown, not counted","Check Level"))))</f>
        <v/>
      </c>
    </row>
    <row r="256" ht="15" customHeight="1" s="210">
      <c r="B256" s="393" t="n"/>
      <c r="C256" s="393" t="n"/>
      <c r="D256" s="393" t="n"/>
      <c r="E256" s="393" t="n"/>
      <c r="F256" s="394">
        <f>IF(E256="","",IFERROR(IF(INDEX('Dashboard Items'!$B$2:$B$495,MATCH(E256,'Dashboard Items'!$A$2:$A$495,0))="Objective","Objectives go in the next column",IF(OR(D256="",INDEX('Dashboard Items'!$B$2:$B$495,MATCH(E256,'Dashboard Items'!$A$2:$A$495,0))=D256),INDEX('Dashboard Items'!$C$2:$C$495,MATCH(E256,'Dashboard Items'!$A$2:$A$495,0)),"Level does not match ID")),"ID not found"))</f>
        <v/>
      </c>
      <c r="G256" s="395" t="n"/>
      <c r="H256" s="394">
        <f>IF(G256="","",IF(ISNUMBER(SEARCH(",",G256)),"Several items (the script lists them)",IFERROR(INDEX('Dashboard Items'!$B$2:$B$495,MATCH(G256,'Dashboard Items'!$A$2:$A$495,0))&amp;": "&amp;INDEX('Dashboard Items'!$C$2:$C$495,MATCH(G256,'Dashboard Items'!$A$2:$A$495,0)),"ID not found")))</f>
        <v/>
      </c>
      <c r="I256" s="393" t="n"/>
      <c r="J256" s="393" t="n"/>
      <c r="K256" s="393" t="n"/>
      <c r="L256" s="393" t="n"/>
      <c r="M256" s="393" t="n"/>
      <c r="N256" s="393" t="n"/>
      <c r="O256" s="393" t="n"/>
      <c r="P256" s="393" t="n"/>
      <c r="Q256" s="393" t="n"/>
      <c r="R256" s="393" t="n"/>
      <c r="S256" s="393" t="n"/>
      <c r="T256" s="393" t="n"/>
      <c r="U256" s="355">
        <f>IF(B256="","",IF(IF(D256&lt;&gt;"",D256,IFERROR(INDEX('Dashboard Items'!$B$2:$B$495,MATCH(E256,'Dashboard Items'!$A$2:$A$495,0)),""))="Key Service",IF(O256="No","Key Service: shown, not counted","Counts in Key Service gauge"),IF(IF(D256&lt;&gt;"",D256,IFERROR(INDEX('Dashboard Items'!$B$2:$B$495,MATCH(E256,'Dashboard Items'!$A$2:$A$495,0)),""))="Program",IF(ISNUMBER(SEARCH("ks",G256)),IF(O256="No","Program, also at Key Service: not counted","Counts in Key Service gauge + sets Program chip"),IF(O256="No","Program: shown, no status chip","Sets Program status chip")),IF(IF(D256&lt;&gt;"",D256,IFERROR(INDEX('Dashboard Items'!$B$2:$B$495,MATCH(E256,'Dashboard Items'!$A$2:$A$495,0)),""))="Work System","Work System: shown, not counted","Check Level"))))</f>
        <v/>
      </c>
    </row>
    <row r="257" ht="15" customHeight="1" s="210">
      <c r="B257" s="393" t="n"/>
      <c r="C257" s="393" t="n"/>
      <c r="D257" s="393" t="n"/>
      <c r="E257" s="393" t="n"/>
      <c r="F257" s="394">
        <f>IF(E257="","",IFERROR(IF(INDEX('Dashboard Items'!$B$2:$B$495,MATCH(E257,'Dashboard Items'!$A$2:$A$495,0))="Objective","Objectives go in the next column",IF(OR(D257="",INDEX('Dashboard Items'!$B$2:$B$495,MATCH(E257,'Dashboard Items'!$A$2:$A$495,0))=D257),INDEX('Dashboard Items'!$C$2:$C$495,MATCH(E257,'Dashboard Items'!$A$2:$A$495,0)),"Level does not match ID")),"ID not found"))</f>
        <v/>
      </c>
      <c r="G257" s="395" t="n"/>
      <c r="H257" s="394">
        <f>IF(G257="","",IF(ISNUMBER(SEARCH(",",G257)),"Several items (the script lists them)",IFERROR(INDEX('Dashboard Items'!$B$2:$B$495,MATCH(G257,'Dashboard Items'!$A$2:$A$495,0))&amp;": "&amp;INDEX('Dashboard Items'!$C$2:$C$495,MATCH(G257,'Dashboard Items'!$A$2:$A$495,0)),"ID not found")))</f>
        <v/>
      </c>
      <c r="I257" s="393" t="n"/>
      <c r="J257" s="393" t="n"/>
      <c r="K257" s="393" t="n"/>
      <c r="L257" s="393" t="n"/>
      <c r="M257" s="393" t="n"/>
      <c r="N257" s="393" t="n"/>
      <c r="O257" s="393" t="n"/>
      <c r="P257" s="393" t="n"/>
      <c r="Q257" s="393" t="n"/>
      <c r="R257" s="393" t="n"/>
      <c r="S257" s="393" t="n"/>
      <c r="T257" s="393" t="n"/>
      <c r="U257" s="355">
        <f>IF(B257="","",IF(IF(D257&lt;&gt;"",D257,IFERROR(INDEX('Dashboard Items'!$B$2:$B$495,MATCH(E257,'Dashboard Items'!$A$2:$A$495,0)),""))="Key Service",IF(O257="No","Key Service: shown, not counted","Counts in Key Service gauge"),IF(IF(D257&lt;&gt;"",D257,IFERROR(INDEX('Dashboard Items'!$B$2:$B$495,MATCH(E257,'Dashboard Items'!$A$2:$A$495,0)),""))="Program",IF(ISNUMBER(SEARCH("ks",G257)),IF(O257="No","Program, also at Key Service: not counted","Counts in Key Service gauge + sets Program chip"),IF(O257="No","Program: shown, no status chip","Sets Program status chip")),IF(IF(D257&lt;&gt;"",D257,IFERROR(INDEX('Dashboard Items'!$B$2:$B$495,MATCH(E257,'Dashboard Items'!$A$2:$A$495,0)),""))="Work System","Work System: shown, not counted","Check Level"))))</f>
        <v/>
      </c>
    </row>
    <row r="258" ht="15" customHeight="1" s="210">
      <c r="B258" s="393" t="n"/>
      <c r="C258" s="393" t="n"/>
      <c r="D258" s="393" t="n"/>
      <c r="E258" s="393" t="n"/>
      <c r="F258" s="394">
        <f>IF(E258="","",IFERROR(IF(INDEX('Dashboard Items'!$B$2:$B$495,MATCH(E258,'Dashboard Items'!$A$2:$A$495,0))="Objective","Objectives go in the next column",IF(OR(D258="",INDEX('Dashboard Items'!$B$2:$B$495,MATCH(E258,'Dashboard Items'!$A$2:$A$495,0))=D258),INDEX('Dashboard Items'!$C$2:$C$495,MATCH(E258,'Dashboard Items'!$A$2:$A$495,0)),"Level does not match ID")),"ID not found"))</f>
        <v/>
      </c>
      <c r="G258" s="395" t="n"/>
      <c r="H258" s="394">
        <f>IF(G258="","",IF(ISNUMBER(SEARCH(",",G258)),"Several items (the script lists them)",IFERROR(INDEX('Dashboard Items'!$B$2:$B$495,MATCH(G258,'Dashboard Items'!$A$2:$A$495,0))&amp;": "&amp;INDEX('Dashboard Items'!$C$2:$C$495,MATCH(G258,'Dashboard Items'!$A$2:$A$495,0)),"ID not found")))</f>
        <v/>
      </c>
      <c r="I258" s="393" t="n"/>
      <c r="J258" s="393" t="n"/>
      <c r="K258" s="393" t="n"/>
      <c r="L258" s="393" t="n"/>
      <c r="M258" s="393" t="n"/>
      <c r="N258" s="393" t="n"/>
      <c r="O258" s="393" t="n"/>
      <c r="P258" s="393" t="n"/>
      <c r="Q258" s="393" t="n"/>
      <c r="R258" s="393" t="n"/>
      <c r="S258" s="393" t="n"/>
      <c r="T258" s="393" t="n"/>
      <c r="U258" s="355">
        <f>IF(B258="","",IF(IF(D258&lt;&gt;"",D258,IFERROR(INDEX('Dashboard Items'!$B$2:$B$495,MATCH(E258,'Dashboard Items'!$A$2:$A$495,0)),""))="Key Service",IF(O258="No","Key Service: shown, not counted","Counts in Key Service gauge"),IF(IF(D258&lt;&gt;"",D258,IFERROR(INDEX('Dashboard Items'!$B$2:$B$495,MATCH(E258,'Dashboard Items'!$A$2:$A$495,0)),""))="Program",IF(ISNUMBER(SEARCH("ks",G258)),IF(O258="No","Program, also at Key Service: not counted","Counts in Key Service gauge + sets Program chip"),IF(O258="No","Program: shown, no status chip","Sets Program status chip")),IF(IF(D258&lt;&gt;"",D258,IFERROR(INDEX('Dashboard Items'!$B$2:$B$495,MATCH(E258,'Dashboard Items'!$A$2:$A$495,0)),""))="Work System","Work System: shown, not counted","Check Level"))))</f>
        <v/>
      </c>
    </row>
    <row r="259" ht="15" customHeight="1" s="210">
      <c r="B259" s="393" t="n"/>
      <c r="C259" s="393" t="n"/>
      <c r="D259" s="393" t="n"/>
      <c r="E259" s="393" t="n"/>
      <c r="F259" s="394">
        <f>IF(E259="","",IFERROR(IF(INDEX('Dashboard Items'!$B$2:$B$495,MATCH(E259,'Dashboard Items'!$A$2:$A$495,0))="Objective","Objectives go in the next column",IF(OR(D259="",INDEX('Dashboard Items'!$B$2:$B$495,MATCH(E259,'Dashboard Items'!$A$2:$A$495,0))=D259),INDEX('Dashboard Items'!$C$2:$C$495,MATCH(E259,'Dashboard Items'!$A$2:$A$495,0)),"Level does not match ID")),"ID not found"))</f>
        <v/>
      </c>
      <c r="G259" s="395" t="n"/>
      <c r="H259" s="394">
        <f>IF(G259="","",IF(ISNUMBER(SEARCH(",",G259)),"Several items (the script lists them)",IFERROR(INDEX('Dashboard Items'!$B$2:$B$495,MATCH(G259,'Dashboard Items'!$A$2:$A$495,0))&amp;": "&amp;INDEX('Dashboard Items'!$C$2:$C$495,MATCH(G259,'Dashboard Items'!$A$2:$A$495,0)),"ID not found")))</f>
        <v/>
      </c>
      <c r="I259" s="393" t="n"/>
      <c r="J259" s="393" t="n"/>
      <c r="K259" s="393" t="n"/>
      <c r="L259" s="393" t="n"/>
      <c r="M259" s="393" t="n"/>
      <c r="N259" s="393" t="n"/>
      <c r="O259" s="393" t="n"/>
      <c r="P259" s="393" t="n"/>
      <c r="Q259" s="393" t="n"/>
      <c r="R259" s="393" t="n"/>
      <c r="S259" s="393" t="n"/>
      <c r="T259" s="393" t="n"/>
      <c r="U259" s="355">
        <f>IF(B259="","",IF(IF(D259&lt;&gt;"",D259,IFERROR(INDEX('Dashboard Items'!$B$2:$B$495,MATCH(E259,'Dashboard Items'!$A$2:$A$495,0)),""))="Key Service",IF(O259="No","Key Service: shown, not counted","Counts in Key Service gauge"),IF(IF(D259&lt;&gt;"",D259,IFERROR(INDEX('Dashboard Items'!$B$2:$B$495,MATCH(E259,'Dashboard Items'!$A$2:$A$495,0)),""))="Program",IF(ISNUMBER(SEARCH("ks",G259)),IF(O259="No","Program, also at Key Service: not counted","Counts in Key Service gauge + sets Program chip"),IF(O259="No","Program: shown, no status chip","Sets Program status chip")),IF(IF(D259&lt;&gt;"",D259,IFERROR(INDEX('Dashboard Items'!$B$2:$B$495,MATCH(E259,'Dashboard Items'!$A$2:$A$495,0)),""))="Work System","Work System: shown, not counted","Check Level"))))</f>
        <v/>
      </c>
    </row>
    <row r="260" ht="15" customHeight="1" s="210">
      <c r="B260" s="393" t="n"/>
      <c r="C260" s="393" t="n"/>
      <c r="D260" s="393" t="n"/>
      <c r="E260" s="393" t="n"/>
      <c r="F260" s="394">
        <f>IF(E260="","",IFERROR(IF(INDEX('Dashboard Items'!$B$2:$B$495,MATCH(E260,'Dashboard Items'!$A$2:$A$495,0))="Objective","Objectives go in the next column",IF(OR(D260="",INDEX('Dashboard Items'!$B$2:$B$495,MATCH(E260,'Dashboard Items'!$A$2:$A$495,0))=D260),INDEX('Dashboard Items'!$C$2:$C$495,MATCH(E260,'Dashboard Items'!$A$2:$A$495,0)),"Level does not match ID")),"ID not found"))</f>
        <v/>
      </c>
      <c r="G260" s="395" t="n"/>
      <c r="H260" s="394">
        <f>IF(G260="","",IF(ISNUMBER(SEARCH(",",G260)),"Several items (the script lists them)",IFERROR(INDEX('Dashboard Items'!$B$2:$B$495,MATCH(G260,'Dashboard Items'!$A$2:$A$495,0))&amp;": "&amp;INDEX('Dashboard Items'!$C$2:$C$495,MATCH(G260,'Dashboard Items'!$A$2:$A$495,0)),"ID not found")))</f>
        <v/>
      </c>
      <c r="I260" s="393" t="n"/>
      <c r="J260" s="393" t="n"/>
      <c r="K260" s="393" t="n"/>
      <c r="L260" s="393" t="n"/>
      <c r="M260" s="393" t="n"/>
      <c r="N260" s="393" t="n"/>
      <c r="O260" s="393" t="n"/>
      <c r="P260" s="393" t="n"/>
      <c r="Q260" s="393" t="n"/>
      <c r="R260" s="393" t="n"/>
      <c r="S260" s="393" t="n"/>
      <c r="T260" s="393" t="n"/>
      <c r="U260" s="355">
        <f>IF(B260="","",IF(IF(D260&lt;&gt;"",D260,IFERROR(INDEX('Dashboard Items'!$B$2:$B$495,MATCH(E260,'Dashboard Items'!$A$2:$A$495,0)),""))="Key Service",IF(O260="No","Key Service: shown, not counted","Counts in Key Service gauge"),IF(IF(D260&lt;&gt;"",D260,IFERROR(INDEX('Dashboard Items'!$B$2:$B$495,MATCH(E260,'Dashboard Items'!$A$2:$A$495,0)),""))="Program",IF(ISNUMBER(SEARCH("ks",G260)),IF(O260="No","Program, also at Key Service: not counted","Counts in Key Service gauge + sets Program chip"),IF(O260="No","Program: shown, no status chip","Sets Program status chip")),IF(IF(D260&lt;&gt;"",D260,IFERROR(INDEX('Dashboard Items'!$B$2:$B$495,MATCH(E260,'Dashboard Items'!$A$2:$A$495,0)),""))="Work System","Work System: shown, not counted","Check Level"))))</f>
        <v/>
      </c>
    </row>
    <row r="261" ht="15" customHeight="1" s="210">
      <c r="B261" s="393" t="n"/>
      <c r="C261" s="393" t="n"/>
      <c r="D261" s="393" t="n"/>
      <c r="E261" s="393" t="n"/>
      <c r="F261" s="394">
        <f>IF(E261="","",IFERROR(IF(INDEX('Dashboard Items'!$B$2:$B$495,MATCH(E261,'Dashboard Items'!$A$2:$A$495,0))="Objective","Objectives go in the next column",IF(OR(D261="",INDEX('Dashboard Items'!$B$2:$B$495,MATCH(E261,'Dashboard Items'!$A$2:$A$495,0))=D261),INDEX('Dashboard Items'!$C$2:$C$495,MATCH(E261,'Dashboard Items'!$A$2:$A$495,0)),"Level does not match ID")),"ID not found"))</f>
        <v/>
      </c>
      <c r="G261" s="395" t="n"/>
      <c r="H261" s="394">
        <f>IF(G261="","",IF(ISNUMBER(SEARCH(",",G261)),"Several items (the script lists them)",IFERROR(INDEX('Dashboard Items'!$B$2:$B$495,MATCH(G261,'Dashboard Items'!$A$2:$A$495,0))&amp;": "&amp;INDEX('Dashboard Items'!$C$2:$C$495,MATCH(G261,'Dashboard Items'!$A$2:$A$495,0)),"ID not found")))</f>
        <v/>
      </c>
      <c r="I261" s="393" t="n"/>
      <c r="J261" s="393" t="n"/>
      <c r="K261" s="393" t="n"/>
      <c r="L261" s="393" t="n"/>
      <c r="M261" s="393" t="n"/>
      <c r="N261" s="393" t="n"/>
      <c r="O261" s="393" t="n"/>
      <c r="P261" s="393" t="n"/>
      <c r="Q261" s="393" t="n"/>
      <c r="R261" s="393" t="n"/>
      <c r="S261" s="393" t="n"/>
      <c r="T261" s="393" t="n"/>
      <c r="U261" s="355">
        <f>IF(B261="","",IF(IF(D261&lt;&gt;"",D261,IFERROR(INDEX('Dashboard Items'!$B$2:$B$495,MATCH(E261,'Dashboard Items'!$A$2:$A$495,0)),""))="Key Service",IF(O261="No","Key Service: shown, not counted","Counts in Key Service gauge"),IF(IF(D261&lt;&gt;"",D261,IFERROR(INDEX('Dashboard Items'!$B$2:$B$495,MATCH(E261,'Dashboard Items'!$A$2:$A$495,0)),""))="Program",IF(ISNUMBER(SEARCH("ks",G261)),IF(O261="No","Program, also at Key Service: not counted","Counts in Key Service gauge + sets Program chip"),IF(O261="No","Program: shown, no status chip","Sets Program status chip")),IF(IF(D261&lt;&gt;"",D261,IFERROR(INDEX('Dashboard Items'!$B$2:$B$495,MATCH(E261,'Dashboard Items'!$A$2:$A$495,0)),""))="Work System","Work System: shown, not counted","Check Level"))))</f>
        <v/>
      </c>
    </row>
    <row r="262" ht="15" customHeight="1" s="210">
      <c r="B262" s="393" t="n"/>
      <c r="C262" s="393" t="n"/>
      <c r="D262" s="393" t="n"/>
      <c r="E262" s="393" t="n"/>
      <c r="F262" s="394">
        <f>IF(E262="","",IFERROR(IF(INDEX('Dashboard Items'!$B$2:$B$495,MATCH(E262,'Dashboard Items'!$A$2:$A$495,0))="Objective","Objectives go in the next column",IF(OR(D262="",INDEX('Dashboard Items'!$B$2:$B$495,MATCH(E262,'Dashboard Items'!$A$2:$A$495,0))=D262),INDEX('Dashboard Items'!$C$2:$C$495,MATCH(E262,'Dashboard Items'!$A$2:$A$495,0)),"Level does not match ID")),"ID not found"))</f>
        <v/>
      </c>
      <c r="G262" s="395" t="n"/>
      <c r="H262" s="394">
        <f>IF(G262="","",IF(ISNUMBER(SEARCH(",",G262)),"Several items (the script lists them)",IFERROR(INDEX('Dashboard Items'!$B$2:$B$495,MATCH(G262,'Dashboard Items'!$A$2:$A$495,0))&amp;": "&amp;INDEX('Dashboard Items'!$C$2:$C$495,MATCH(G262,'Dashboard Items'!$A$2:$A$495,0)),"ID not found")))</f>
        <v/>
      </c>
      <c r="I262" s="393" t="n"/>
      <c r="J262" s="393" t="n"/>
      <c r="K262" s="393" t="n"/>
      <c r="L262" s="393" t="n"/>
      <c r="M262" s="393" t="n"/>
      <c r="N262" s="393" t="n"/>
      <c r="O262" s="393" t="n"/>
      <c r="P262" s="393" t="n"/>
      <c r="Q262" s="393" t="n"/>
      <c r="R262" s="393" t="n"/>
      <c r="S262" s="393" t="n"/>
      <c r="T262" s="393" t="n"/>
      <c r="U262" s="355">
        <f>IF(B262="","",IF(IF(D262&lt;&gt;"",D262,IFERROR(INDEX('Dashboard Items'!$B$2:$B$495,MATCH(E262,'Dashboard Items'!$A$2:$A$495,0)),""))="Key Service",IF(O262="No","Key Service: shown, not counted","Counts in Key Service gauge"),IF(IF(D262&lt;&gt;"",D262,IFERROR(INDEX('Dashboard Items'!$B$2:$B$495,MATCH(E262,'Dashboard Items'!$A$2:$A$495,0)),""))="Program",IF(ISNUMBER(SEARCH("ks",G262)),IF(O262="No","Program, also at Key Service: not counted","Counts in Key Service gauge + sets Program chip"),IF(O262="No","Program: shown, no status chip","Sets Program status chip")),IF(IF(D262&lt;&gt;"",D262,IFERROR(INDEX('Dashboard Items'!$B$2:$B$495,MATCH(E262,'Dashboard Items'!$A$2:$A$495,0)),""))="Work System","Work System: shown, not counted","Check Level"))))</f>
        <v/>
      </c>
    </row>
    <row r="263" ht="15" customHeight="1" s="210">
      <c r="B263" s="393" t="n"/>
      <c r="C263" s="393" t="n"/>
      <c r="D263" s="393" t="n"/>
      <c r="E263" s="393" t="n"/>
      <c r="F263" s="394">
        <f>IF(E263="","",IFERROR(IF(INDEX('Dashboard Items'!$B$2:$B$495,MATCH(E263,'Dashboard Items'!$A$2:$A$495,0))="Objective","Objectives go in the next column",IF(OR(D263="",INDEX('Dashboard Items'!$B$2:$B$495,MATCH(E263,'Dashboard Items'!$A$2:$A$495,0))=D263),INDEX('Dashboard Items'!$C$2:$C$495,MATCH(E263,'Dashboard Items'!$A$2:$A$495,0)),"Level does not match ID")),"ID not found"))</f>
        <v/>
      </c>
      <c r="G263" s="395" t="n"/>
      <c r="H263" s="394">
        <f>IF(G263="","",IF(ISNUMBER(SEARCH(",",G263)),"Several items (the script lists them)",IFERROR(INDEX('Dashboard Items'!$B$2:$B$495,MATCH(G263,'Dashboard Items'!$A$2:$A$495,0))&amp;": "&amp;INDEX('Dashboard Items'!$C$2:$C$495,MATCH(G263,'Dashboard Items'!$A$2:$A$495,0)),"ID not found")))</f>
        <v/>
      </c>
      <c r="I263" s="393" t="n"/>
      <c r="J263" s="393" t="n"/>
      <c r="K263" s="393" t="n"/>
      <c r="L263" s="393" t="n"/>
      <c r="M263" s="393" t="n"/>
      <c r="N263" s="393" t="n"/>
      <c r="O263" s="393" t="n"/>
      <c r="P263" s="393" t="n"/>
      <c r="Q263" s="393" t="n"/>
      <c r="R263" s="393" t="n"/>
      <c r="S263" s="393" t="n"/>
      <c r="T263" s="393" t="n"/>
      <c r="U263" s="355">
        <f>IF(B263="","",IF(IF(D263&lt;&gt;"",D263,IFERROR(INDEX('Dashboard Items'!$B$2:$B$495,MATCH(E263,'Dashboard Items'!$A$2:$A$495,0)),""))="Key Service",IF(O263="No","Key Service: shown, not counted","Counts in Key Service gauge"),IF(IF(D263&lt;&gt;"",D263,IFERROR(INDEX('Dashboard Items'!$B$2:$B$495,MATCH(E263,'Dashboard Items'!$A$2:$A$495,0)),""))="Program",IF(ISNUMBER(SEARCH("ks",G263)),IF(O263="No","Program, also at Key Service: not counted","Counts in Key Service gauge + sets Program chip"),IF(O263="No","Program: shown, no status chip","Sets Program status chip")),IF(IF(D263&lt;&gt;"",D263,IFERROR(INDEX('Dashboard Items'!$B$2:$B$495,MATCH(E263,'Dashboard Items'!$A$2:$A$495,0)),""))="Work System","Work System: shown, not counted","Check Level"))))</f>
        <v/>
      </c>
    </row>
    <row r="264" ht="15" customHeight="1" s="210">
      <c r="B264" s="393" t="n"/>
      <c r="C264" s="393" t="n"/>
      <c r="D264" s="393" t="n"/>
      <c r="E264" s="393" t="n"/>
      <c r="F264" s="394">
        <f>IF(E264="","",IFERROR(IF(INDEX('Dashboard Items'!$B$2:$B$495,MATCH(E264,'Dashboard Items'!$A$2:$A$495,0))="Objective","Objectives go in the next column",IF(OR(D264="",INDEX('Dashboard Items'!$B$2:$B$495,MATCH(E264,'Dashboard Items'!$A$2:$A$495,0))=D264),INDEX('Dashboard Items'!$C$2:$C$495,MATCH(E264,'Dashboard Items'!$A$2:$A$495,0)),"Level does not match ID")),"ID not found"))</f>
        <v/>
      </c>
      <c r="G264" s="395" t="n"/>
      <c r="H264" s="394">
        <f>IF(G264="","",IF(ISNUMBER(SEARCH(",",G264)),"Several items (the script lists them)",IFERROR(INDEX('Dashboard Items'!$B$2:$B$495,MATCH(G264,'Dashboard Items'!$A$2:$A$495,0))&amp;": "&amp;INDEX('Dashboard Items'!$C$2:$C$495,MATCH(G264,'Dashboard Items'!$A$2:$A$495,0)),"ID not found")))</f>
        <v/>
      </c>
      <c r="I264" s="393" t="n"/>
      <c r="J264" s="393" t="n"/>
      <c r="K264" s="393" t="n"/>
      <c r="L264" s="393" t="n"/>
      <c r="M264" s="393" t="n"/>
      <c r="N264" s="393" t="n"/>
      <c r="O264" s="393" t="n"/>
      <c r="P264" s="393" t="n"/>
      <c r="Q264" s="393" t="n"/>
      <c r="R264" s="393" t="n"/>
      <c r="S264" s="393" t="n"/>
      <c r="T264" s="393" t="n"/>
      <c r="U264" s="355">
        <f>IF(B264="","",IF(IF(D264&lt;&gt;"",D264,IFERROR(INDEX('Dashboard Items'!$B$2:$B$495,MATCH(E264,'Dashboard Items'!$A$2:$A$495,0)),""))="Key Service",IF(O264="No","Key Service: shown, not counted","Counts in Key Service gauge"),IF(IF(D264&lt;&gt;"",D264,IFERROR(INDEX('Dashboard Items'!$B$2:$B$495,MATCH(E264,'Dashboard Items'!$A$2:$A$495,0)),""))="Program",IF(ISNUMBER(SEARCH("ks",G264)),IF(O264="No","Program, also at Key Service: not counted","Counts in Key Service gauge + sets Program chip"),IF(O264="No","Program: shown, no status chip","Sets Program status chip")),IF(IF(D264&lt;&gt;"",D264,IFERROR(INDEX('Dashboard Items'!$B$2:$B$495,MATCH(E264,'Dashboard Items'!$A$2:$A$495,0)),""))="Work System","Work System: shown, not counted","Check Level"))))</f>
        <v/>
      </c>
    </row>
    <row r="265" ht="15" customHeight="1" s="210">
      <c r="B265" s="393" t="n"/>
      <c r="C265" s="393" t="n"/>
      <c r="D265" s="393" t="n"/>
      <c r="E265" s="393" t="n"/>
      <c r="F265" s="394">
        <f>IF(E265="","",IFERROR(IF(INDEX('Dashboard Items'!$B$2:$B$495,MATCH(E265,'Dashboard Items'!$A$2:$A$495,0))="Objective","Objectives go in the next column",IF(OR(D265="",INDEX('Dashboard Items'!$B$2:$B$495,MATCH(E265,'Dashboard Items'!$A$2:$A$495,0))=D265),INDEX('Dashboard Items'!$C$2:$C$495,MATCH(E265,'Dashboard Items'!$A$2:$A$495,0)),"Level does not match ID")),"ID not found"))</f>
        <v/>
      </c>
      <c r="G265" s="395" t="n"/>
      <c r="H265" s="394">
        <f>IF(G265="","",IF(ISNUMBER(SEARCH(",",G265)),"Several items (the script lists them)",IFERROR(INDEX('Dashboard Items'!$B$2:$B$495,MATCH(G265,'Dashboard Items'!$A$2:$A$495,0))&amp;": "&amp;INDEX('Dashboard Items'!$C$2:$C$495,MATCH(G265,'Dashboard Items'!$A$2:$A$495,0)),"ID not found")))</f>
        <v/>
      </c>
      <c r="I265" s="393" t="n"/>
      <c r="J265" s="393" t="n"/>
      <c r="K265" s="393" t="n"/>
      <c r="L265" s="393" t="n"/>
      <c r="M265" s="393" t="n"/>
      <c r="N265" s="393" t="n"/>
      <c r="O265" s="393" t="n"/>
      <c r="P265" s="393" t="n"/>
      <c r="Q265" s="393" t="n"/>
      <c r="R265" s="393" t="n"/>
      <c r="S265" s="393" t="n"/>
      <c r="T265" s="393" t="n"/>
      <c r="U265" s="355">
        <f>IF(B265="","",IF(IF(D265&lt;&gt;"",D265,IFERROR(INDEX('Dashboard Items'!$B$2:$B$495,MATCH(E265,'Dashboard Items'!$A$2:$A$495,0)),""))="Key Service",IF(O265="No","Key Service: shown, not counted","Counts in Key Service gauge"),IF(IF(D265&lt;&gt;"",D265,IFERROR(INDEX('Dashboard Items'!$B$2:$B$495,MATCH(E265,'Dashboard Items'!$A$2:$A$495,0)),""))="Program",IF(ISNUMBER(SEARCH("ks",G265)),IF(O265="No","Program, also at Key Service: not counted","Counts in Key Service gauge + sets Program chip"),IF(O265="No","Program: shown, no status chip","Sets Program status chip")),IF(IF(D265&lt;&gt;"",D265,IFERROR(INDEX('Dashboard Items'!$B$2:$B$495,MATCH(E265,'Dashboard Items'!$A$2:$A$495,0)),""))="Work System","Work System: shown, not counted","Check Level"))))</f>
        <v/>
      </c>
    </row>
    <row r="266" ht="15" customHeight="1" s="210">
      <c r="B266" s="393" t="n"/>
      <c r="C266" s="393" t="n"/>
      <c r="D266" s="393" t="n"/>
      <c r="E266" s="393" t="n"/>
      <c r="F266" s="394">
        <f>IF(E266="","",IFERROR(IF(INDEX('Dashboard Items'!$B$2:$B$495,MATCH(E266,'Dashboard Items'!$A$2:$A$495,0))="Objective","Objectives go in the next column",IF(OR(D266="",INDEX('Dashboard Items'!$B$2:$B$495,MATCH(E266,'Dashboard Items'!$A$2:$A$495,0))=D266),INDEX('Dashboard Items'!$C$2:$C$495,MATCH(E266,'Dashboard Items'!$A$2:$A$495,0)),"Level does not match ID")),"ID not found"))</f>
        <v/>
      </c>
      <c r="G266" s="395" t="n"/>
      <c r="H266" s="394">
        <f>IF(G266="","",IF(ISNUMBER(SEARCH(",",G266)),"Several items (the script lists them)",IFERROR(INDEX('Dashboard Items'!$B$2:$B$495,MATCH(G266,'Dashboard Items'!$A$2:$A$495,0))&amp;": "&amp;INDEX('Dashboard Items'!$C$2:$C$495,MATCH(G266,'Dashboard Items'!$A$2:$A$495,0)),"ID not found")))</f>
        <v/>
      </c>
      <c r="I266" s="393" t="n"/>
      <c r="J266" s="393" t="n"/>
      <c r="K266" s="393" t="n"/>
      <c r="L266" s="393" t="n"/>
      <c r="M266" s="393" t="n"/>
      <c r="N266" s="393" t="n"/>
      <c r="O266" s="393" t="n"/>
      <c r="P266" s="393" t="n"/>
      <c r="Q266" s="393" t="n"/>
      <c r="R266" s="393" t="n"/>
      <c r="S266" s="393" t="n"/>
      <c r="T266" s="393" t="n"/>
      <c r="U266" s="355">
        <f>IF(B266="","",IF(IF(D266&lt;&gt;"",D266,IFERROR(INDEX('Dashboard Items'!$B$2:$B$495,MATCH(E266,'Dashboard Items'!$A$2:$A$495,0)),""))="Key Service",IF(O266="No","Key Service: shown, not counted","Counts in Key Service gauge"),IF(IF(D266&lt;&gt;"",D266,IFERROR(INDEX('Dashboard Items'!$B$2:$B$495,MATCH(E266,'Dashboard Items'!$A$2:$A$495,0)),""))="Program",IF(ISNUMBER(SEARCH("ks",G266)),IF(O266="No","Program, also at Key Service: not counted","Counts in Key Service gauge + sets Program chip"),IF(O266="No","Program: shown, no status chip","Sets Program status chip")),IF(IF(D266&lt;&gt;"",D266,IFERROR(INDEX('Dashboard Items'!$B$2:$B$495,MATCH(E266,'Dashboard Items'!$A$2:$A$495,0)),""))="Work System","Work System: shown, not counted","Check Level"))))</f>
        <v/>
      </c>
    </row>
    <row r="267" ht="15" customHeight="1" s="210">
      <c r="B267" s="393" t="n"/>
      <c r="C267" s="393" t="n"/>
      <c r="D267" s="393" t="n"/>
      <c r="E267" s="393" t="n"/>
      <c r="F267" s="394">
        <f>IF(E267="","",IFERROR(IF(INDEX('Dashboard Items'!$B$2:$B$495,MATCH(E267,'Dashboard Items'!$A$2:$A$495,0))="Objective","Objectives go in the next column",IF(OR(D267="",INDEX('Dashboard Items'!$B$2:$B$495,MATCH(E267,'Dashboard Items'!$A$2:$A$495,0))=D267),INDEX('Dashboard Items'!$C$2:$C$495,MATCH(E267,'Dashboard Items'!$A$2:$A$495,0)),"Level does not match ID")),"ID not found"))</f>
        <v/>
      </c>
      <c r="G267" s="395" t="n"/>
      <c r="H267" s="394">
        <f>IF(G267="","",IF(ISNUMBER(SEARCH(",",G267)),"Several items (the script lists them)",IFERROR(INDEX('Dashboard Items'!$B$2:$B$495,MATCH(G267,'Dashboard Items'!$A$2:$A$495,0))&amp;": "&amp;INDEX('Dashboard Items'!$C$2:$C$495,MATCH(G267,'Dashboard Items'!$A$2:$A$495,0)),"ID not found")))</f>
        <v/>
      </c>
      <c r="I267" s="393" t="n"/>
      <c r="J267" s="393" t="n"/>
      <c r="K267" s="393" t="n"/>
      <c r="L267" s="393" t="n"/>
      <c r="M267" s="393" t="n"/>
      <c r="N267" s="393" t="n"/>
      <c r="O267" s="393" t="n"/>
      <c r="P267" s="393" t="n"/>
      <c r="Q267" s="393" t="n"/>
      <c r="R267" s="393" t="n"/>
      <c r="S267" s="393" t="n"/>
      <c r="T267" s="393" t="n"/>
      <c r="U267" s="355">
        <f>IF(B267="","",IF(IF(D267&lt;&gt;"",D267,IFERROR(INDEX('Dashboard Items'!$B$2:$B$495,MATCH(E267,'Dashboard Items'!$A$2:$A$495,0)),""))="Key Service",IF(O267="No","Key Service: shown, not counted","Counts in Key Service gauge"),IF(IF(D267&lt;&gt;"",D267,IFERROR(INDEX('Dashboard Items'!$B$2:$B$495,MATCH(E267,'Dashboard Items'!$A$2:$A$495,0)),""))="Program",IF(ISNUMBER(SEARCH("ks",G267)),IF(O267="No","Program, also at Key Service: not counted","Counts in Key Service gauge + sets Program chip"),IF(O267="No","Program: shown, no status chip","Sets Program status chip")),IF(IF(D267&lt;&gt;"",D267,IFERROR(INDEX('Dashboard Items'!$B$2:$B$495,MATCH(E267,'Dashboard Items'!$A$2:$A$495,0)),""))="Work System","Work System: shown, not counted","Check Level"))))</f>
        <v/>
      </c>
    </row>
    <row r="268" ht="15" customHeight="1" s="210">
      <c r="B268" s="393" t="n"/>
      <c r="C268" s="393" t="n"/>
      <c r="D268" s="393" t="n"/>
      <c r="E268" s="393" t="n"/>
      <c r="F268" s="394">
        <f>IF(E268="","",IFERROR(IF(INDEX('Dashboard Items'!$B$2:$B$495,MATCH(E268,'Dashboard Items'!$A$2:$A$495,0))="Objective","Objectives go in the next column",IF(OR(D268="",INDEX('Dashboard Items'!$B$2:$B$495,MATCH(E268,'Dashboard Items'!$A$2:$A$495,0))=D268),INDEX('Dashboard Items'!$C$2:$C$495,MATCH(E268,'Dashboard Items'!$A$2:$A$495,0)),"Level does not match ID")),"ID not found"))</f>
        <v/>
      </c>
      <c r="G268" s="395" t="n"/>
      <c r="H268" s="394">
        <f>IF(G268="","",IF(ISNUMBER(SEARCH(",",G268)),"Several items (the script lists them)",IFERROR(INDEX('Dashboard Items'!$B$2:$B$495,MATCH(G268,'Dashboard Items'!$A$2:$A$495,0))&amp;": "&amp;INDEX('Dashboard Items'!$C$2:$C$495,MATCH(G268,'Dashboard Items'!$A$2:$A$495,0)),"ID not found")))</f>
        <v/>
      </c>
      <c r="I268" s="393" t="n"/>
      <c r="J268" s="393" t="n"/>
      <c r="K268" s="393" t="n"/>
      <c r="L268" s="393" t="n"/>
      <c r="M268" s="393" t="n"/>
      <c r="N268" s="393" t="n"/>
      <c r="O268" s="393" t="n"/>
      <c r="P268" s="393" t="n"/>
      <c r="Q268" s="393" t="n"/>
      <c r="R268" s="393" t="n"/>
      <c r="S268" s="393" t="n"/>
      <c r="T268" s="393" t="n"/>
      <c r="U268" s="355">
        <f>IF(B268="","",IF(IF(D268&lt;&gt;"",D268,IFERROR(INDEX('Dashboard Items'!$B$2:$B$495,MATCH(E268,'Dashboard Items'!$A$2:$A$495,0)),""))="Key Service",IF(O268="No","Key Service: shown, not counted","Counts in Key Service gauge"),IF(IF(D268&lt;&gt;"",D268,IFERROR(INDEX('Dashboard Items'!$B$2:$B$495,MATCH(E268,'Dashboard Items'!$A$2:$A$495,0)),""))="Program",IF(ISNUMBER(SEARCH("ks",G268)),IF(O268="No","Program, also at Key Service: not counted","Counts in Key Service gauge + sets Program chip"),IF(O268="No","Program: shown, no status chip","Sets Program status chip")),IF(IF(D268&lt;&gt;"",D268,IFERROR(INDEX('Dashboard Items'!$B$2:$B$495,MATCH(E268,'Dashboard Items'!$A$2:$A$495,0)),""))="Work System","Work System: shown, not counted","Check Level"))))</f>
        <v/>
      </c>
    </row>
    <row r="269" ht="15" customHeight="1" s="210">
      <c r="B269" s="393" t="n"/>
      <c r="C269" s="393" t="n"/>
      <c r="D269" s="393" t="n"/>
      <c r="E269" s="393" t="n"/>
      <c r="F269" s="394">
        <f>IF(E269="","",IFERROR(IF(INDEX('Dashboard Items'!$B$2:$B$495,MATCH(E269,'Dashboard Items'!$A$2:$A$495,0))="Objective","Objectives go in the next column",IF(OR(D269="",INDEX('Dashboard Items'!$B$2:$B$495,MATCH(E269,'Dashboard Items'!$A$2:$A$495,0))=D269),INDEX('Dashboard Items'!$C$2:$C$495,MATCH(E269,'Dashboard Items'!$A$2:$A$495,0)),"Level does not match ID")),"ID not found"))</f>
        <v/>
      </c>
      <c r="G269" s="395" t="n"/>
      <c r="H269" s="394">
        <f>IF(G269="","",IF(ISNUMBER(SEARCH(",",G269)),"Several items (the script lists them)",IFERROR(INDEX('Dashboard Items'!$B$2:$B$495,MATCH(G269,'Dashboard Items'!$A$2:$A$495,0))&amp;": "&amp;INDEX('Dashboard Items'!$C$2:$C$495,MATCH(G269,'Dashboard Items'!$A$2:$A$495,0)),"ID not found")))</f>
        <v/>
      </c>
      <c r="I269" s="393" t="n"/>
      <c r="J269" s="393" t="n"/>
      <c r="K269" s="393" t="n"/>
      <c r="L269" s="393" t="n"/>
      <c r="M269" s="393" t="n"/>
      <c r="N269" s="393" t="n"/>
      <c r="O269" s="393" t="n"/>
      <c r="P269" s="393" t="n"/>
      <c r="Q269" s="393" t="n"/>
      <c r="R269" s="393" t="n"/>
      <c r="S269" s="393" t="n"/>
      <c r="T269" s="393" t="n"/>
      <c r="U269" s="355">
        <f>IF(B269="","",IF(IF(D269&lt;&gt;"",D269,IFERROR(INDEX('Dashboard Items'!$B$2:$B$495,MATCH(E269,'Dashboard Items'!$A$2:$A$495,0)),""))="Key Service",IF(O269="No","Key Service: shown, not counted","Counts in Key Service gauge"),IF(IF(D269&lt;&gt;"",D269,IFERROR(INDEX('Dashboard Items'!$B$2:$B$495,MATCH(E269,'Dashboard Items'!$A$2:$A$495,0)),""))="Program",IF(ISNUMBER(SEARCH("ks",G269)),IF(O269="No","Program, also at Key Service: not counted","Counts in Key Service gauge + sets Program chip"),IF(O269="No","Program: shown, no status chip","Sets Program status chip")),IF(IF(D269&lt;&gt;"",D269,IFERROR(INDEX('Dashboard Items'!$B$2:$B$495,MATCH(E269,'Dashboard Items'!$A$2:$A$495,0)),""))="Work System","Work System: shown, not counted","Check Level"))))</f>
        <v/>
      </c>
    </row>
    <row r="270" ht="15" customHeight="1" s="210">
      <c r="B270" s="393" t="n"/>
      <c r="C270" s="393" t="n"/>
      <c r="D270" s="393" t="n"/>
      <c r="E270" s="393" t="n"/>
      <c r="F270" s="394">
        <f>IF(E270="","",IFERROR(IF(INDEX('Dashboard Items'!$B$2:$B$495,MATCH(E270,'Dashboard Items'!$A$2:$A$495,0))="Objective","Objectives go in the next column",IF(OR(D270="",INDEX('Dashboard Items'!$B$2:$B$495,MATCH(E270,'Dashboard Items'!$A$2:$A$495,0))=D270),INDEX('Dashboard Items'!$C$2:$C$495,MATCH(E270,'Dashboard Items'!$A$2:$A$495,0)),"Level does not match ID")),"ID not found"))</f>
        <v/>
      </c>
      <c r="G270" s="395" t="n"/>
      <c r="H270" s="394">
        <f>IF(G270="","",IF(ISNUMBER(SEARCH(",",G270)),"Several items (the script lists them)",IFERROR(INDEX('Dashboard Items'!$B$2:$B$495,MATCH(G270,'Dashboard Items'!$A$2:$A$495,0))&amp;": "&amp;INDEX('Dashboard Items'!$C$2:$C$495,MATCH(G270,'Dashboard Items'!$A$2:$A$495,0)),"ID not found")))</f>
        <v/>
      </c>
      <c r="I270" s="393" t="n"/>
      <c r="J270" s="393" t="n"/>
      <c r="K270" s="393" t="n"/>
      <c r="L270" s="393" t="n"/>
      <c r="M270" s="393" t="n"/>
      <c r="N270" s="393" t="n"/>
      <c r="O270" s="393" t="n"/>
      <c r="P270" s="393" t="n"/>
      <c r="Q270" s="393" t="n"/>
      <c r="R270" s="393" t="n"/>
      <c r="S270" s="393" t="n"/>
      <c r="T270" s="393" t="n"/>
      <c r="U270" s="355">
        <f>IF(B270="","",IF(IF(D270&lt;&gt;"",D270,IFERROR(INDEX('Dashboard Items'!$B$2:$B$495,MATCH(E270,'Dashboard Items'!$A$2:$A$495,0)),""))="Key Service",IF(O270="No","Key Service: shown, not counted","Counts in Key Service gauge"),IF(IF(D270&lt;&gt;"",D270,IFERROR(INDEX('Dashboard Items'!$B$2:$B$495,MATCH(E270,'Dashboard Items'!$A$2:$A$495,0)),""))="Program",IF(ISNUMBER(SEARCH("ks",G270)),IF(O270="No","Program, also at Key Service: not counted","Counts in Key Service gauge + sets Program chip"),IF(O270="No","Program: shown, no status chip","Sets Program status chip")),IF(IF(D270&lt;&gt;"",D270,IFERROR(INDEX('Dashboard Items'!$B$2:$B$495,MATCH(E270,'Dashboard Items'!$A$2:$A$495,0)),""))="Work System","Work System: shown, not counted","Check Level"))))</f>
        <v/>
      </c>
    </row>
    <row r="271" ht="15" customHeight="1" s="210">
      <c r="B271" s="393" t="n"/>
      <c r="C271" s="393" t="n"/>
      <c r="D271" s="393" t="n"/>
      <c r="E271" s="393" t="n"/>
      <c r="F271" s="394">
        <f>IF(E271="","",IFERROR(IF(INDEX('Dashboard Items'!$B$2:$B$495,MATCH(E271,'Dashboard Items'!$A$2:$A$495,0))="Objective","Objectives go in the next column",IF(OR(D271="",INDEX('Dashboard Items'!$B$2:$B$495,MATCH(E271,'Dashboard Items'!$A$2:$A$495,0))=D271),INDEX('Dashboard Items'!$C$2:$C$495,MATCH(E271,'Dashboard Items'!$A$2:$A$495,0)),"Level does not match ID")),"ID not found"))</f>
        <v/>
      </c>
      <c r="G271" s="395" t="n"/>
      <c r="H271" s="394">
        <f>IF(G271="","",IF(ISNUMBER(SEARCH(",",G271)),"Several items (the script lists them)",IFERROR(INDEX('Dashboard Items'!$B$2:$B$495,MATCH(G271,'Dashboard Items'!$A$2:$A$495,0))&amp;": "&amp;INDEX('Dashboard Items'!$C$2:$C$495,MATCH(G271,'Dashboard Items'!$A$2:$A$495,0)),"ID not found")))</f>
        <v/>
      </c>
      <c r="I271" s="393" t="n"/>
      <c r="J271" s="393" t="n"/>
      <c r="K271" s="393" t="n"/>
      <c r="L271" s="393" t="n"/>
      <c r="M271" s="393" t="n"/>
      <c r="N271" s="393" t="n"/>
      <c r="O271" s="393" t="n"/>
      <c r="P271" s="393" t="n"/>
      <c r="Q271" s="393" t="n"/>
      <c r="R271" s="393" t="n"/>
      <c r="S271" s="393" t="n"/>
      <c r="T271" s="393" t="n"/>
      <c r="U271" s="355">
        <f>IF(B271="","",IF(IF(D271&lt;&gt;"",D271,IFERROR(INDEX('Dashboard Items'!$B$2:$B$495,MATCH(E271,'Dashboard Items'!$A$2:$A$495,0)),""))="Key Service",IF(O271="No","Key Service: shown, not counted","Counts in Key Service gauge"),IF(IF(D271&lt;&gt;"",D271,IFERROR(INDEX('Dashboard Items'!$B$2:$B$495,MATCH(E271,'Dashboard Items'!$A$2:$A$495,0)),""))="Program",IF(ISNUMBER(SEARCH("ks",G271)),IF(O271="No","Program, also at Key Service: not counted","Counts in Key Service gauge + sets Program chip"),IF(O271="No","Program: shown, no status chip","Sets Program status chip")),IF(IF(D271&lt;&gt;"",D271,IFERROR(INDEX('Dashboard Items'!$B$2:$B$495,MATCH(E271,'Dashboard Items'!$A$2:$A$495,0)),""))="Work System","Work System: shown, not counted","Check Level"))))</f>
        <v/>
      </c>
    </row>
    <row r="272" ht="15" customHeight="1" s="210">
      <c r="B272" s="393" t="n"/>
      <c r="C272" s="393" t="n"/>
      <c r="D272" s="393" t="n"/>
      <c r="E272" s="393" t="n"/>
      <c r="F272" s="394">
        <f>IF(E272="","",IFERROR(IF(INDEX('Dashboard Items'!$B$2:$B$495,MATCH(E272,'Dashboard Items'!$A$2:$A$495,0))="Objective","Objectives go in the next column",IF(OR(D272="",INDEX('Dashboard Items'!$B$2:$B$495,MATCH(E272,'Dashboard Items'!$A$2:$A$495,0))=D272),INDEX('Dashboard Items'!$C$2:$C$495,MATCH(E272,'Dashboard Items'!$A$2:$A$495,0)),"Level does not match ID")),"ID not found"))</f>
        <v/>
      </c>
      <c r="G272" s="395" t="n"/>
      <c r="H272" s="394">
        <f>IF(G272="","",IF(ISNUMBER(SEARCH(",",G272)),"Several items (the script lists them)",IFERROR(INDEX('Dashboard Items'!$B$2:$B$495,MATCH(G272,'Dashboard Items'!$A$2:$A$495,0))&amp;": "&amp;INDEX('Dashboard Items'!$C$2:$C$495,MATCH(G272,'Dashboard Items'!$A$2:$A$495,0)),"ID not found")))</f>
        <v/>
      </c>
      <c r="I272" s="393" t="n"/>
      <c r="J272" s="393" t="n"/>
      <c r="K272" s="393" t="n"/>
      <c r="L272" s="393" t="n"/>
      <c r="M272" s="393" t="n"/>
      <c r="N272" s="393" t="n"/>
      <c r="O272" s="393" t="n"/>
      <c r="P272" s="393" t="n"/>
      <c r="Q272" s="393" t="n"/>
      <c r="R272" s="393" t="n"/>
      <c r="S272" s="393" t="n"/>
      <c r="T272" s="393" t="n"/>
      <c r="U272" s="355">
        <f>IF(B272="","",IF(IF(D272&lt;&gt;"",D272,IFERROR(INDEX('Dashboard Items'!$B$2:$B$495,MATCH(E272,'Dashboard Items'!$A$2:$A$495,0)),""))="Key Service",IF(O272="No","Key Service: shown, not counted","Counts in Key Service gauge"),IF(IF(D272&lt;&gt;"",D272,IFERROR(INDEX('Dashboard Items'!$B$2:$B$495,MATCH(E272,'Dashboard Items'!$A$2:$A$495,0)),""))="Program",IF(ISNUMBER(SEARCH("ks",G272)),IF(O272="No","Program, also at Key Service: not counted","Counts in Key Service gauge + sets Program chip"),IF(O272="No","Program: shown, no status chip","Sets Program status chip")),IF(IF(D272&lt;&gt;"",D272,IFERROR(INDEX('Dashboard Items'!$B$2:$B$495,MATCH(E272,'Dashboard Items'!$A$2:$A$495,0)),""))="Work System","Work System: shown, not counted","Check Level"))))</f>
        <v/>
      </c>
    </row>
    <row r="273" ht="15" customHeight="1" s="210">
      <c r="B273" s="393" t="n"/>
      <c r="C273" s="393" t="n"/>
      <c r="D273" s="393" t="n"/>
      <c r="E273" s="393" t="n"/>
      <c r="F273" s="394">
        <f>IF(E273="","",IFERROR(IF(INDEX('Dashboard Items'!$B$2:$B$495,MATCH(E273,'Dashboard Items'!$A$2:$A$495,0))="Objective","Objectives go in the next column",IF(OR(D273="",INDEX('Dashboard Items'!$B$2:$B$495,MATCH(E273,'Dashboard Items'!$A$2:$A$495,0))=D273),INDEX('Dashboard Items'!$C$2:$C$495,MATCH(E273,'Dashboard Items'!$A$2:$A$495,0)),"Level does not match ID")),"ID not found"))</f>
        <v/>
      </c>
      <c r="G273" s="395" t="n"/>
      <c r="H273" s="394">
        <f>IF(G273="","",IF(ISNUMBER(SEARCH(",",G273)),"Several items (the script lists them)",IFERROR(INDEX('Dashboard Items'!$B$2:$B$495,MATCH(G273,'Dashboard Items'!$A$2:$A$495,0))&amp;": "&amp;INDEX('Dashboard Items'!$C$2:$C$495,MATCH(G273,'Dashboard Items'!$A$2:$A$495,0)),"ID not found")))</f>
        <v/>
      </c>
      <c r="I273" s="393" t="n"/>
      <c r="J273" s="393" t="n"/>
      <c r="K273" s="393" t="n"/>
      <c r="L273" s="393" t="n"/>
      <c r="M273" s="393" t="n"/>
      <c r="N273" s="393" t="n"/>
      <c r="O273" s="393" t="n"/>
      <c r="P273" s="393" t="n"/>
      <c r="Q273" s="393" t="n"/>
      <c r="R273" s="393" t="n"/>
      <c r="S273" s="393" t="n"/>
      <c r="T273" s="393" t="n"/>
      <c r="U273" s="355">
        <f>IF(B273="","",IF(IF(D273&lt;&gt;"",D273,IFERROR(INDEX('Dashboard Items'!$B$2:$B$495,MATCH(E273,'Dashboard Items'!$A$2:$A$495,0)),""))="Key Service",IF(O273="No","Key Service: shown, not counted","Counts in Key Service gauge"),IF(IF(D273&lt;&gt;"",D273,IFERROR(INDEX('Dashboard Items'!$B$2:$B$495,MATCH(E273,'Dashboard Items'!$A$2:$A$495,0)),""))="Program",IF(ISNUMBER(SEARCH("ks",G273)),IF(O273="No","Program, also at Key Service: not counted","Counts in Key Service gauge + sets Program chip"),IF(O273="No","Program: shown, no status chip","Sets Program status chip")),IF(IF(D273&lt;&gt;"",D273,IFERROR(INDEX('Dashboard Items'!$B$2:$B$495,MATCH(E273,'Dashboard Items'!$A$2:$A$495,0)),""))="Work System","Work System: shown, not counted","Check Level"))))</f>
        <v/>
      </c>
    </row>
    <row r="274" ht="15" customHeight="1" s="210">
      <c r="B274" s="393" t="n"/>
      <c r="C274" s="393" t="n"/>
      <c r="D274" s="393" t="n"/>
      <c r="E274" s="393" t="n"/>
      <c r="F274" s="394">
        <f>IF(E274="","",IFERROR(IF(INDEX('Dashboard Items'!$B$2:$B$495,MATCH(E274,'Dashboard Items'!$A$2:$A$495,0))="Objective","Objectives go in the next column",IF(OR(D274="",INDEX('Dashboard Items'!$B$2:$B$495,MATCH(E274,'Dashboard Items'!$A$2:$A$495,0))=D274),INDEX('Dashboard Items'!$C$2:$C$495,MATCH(E274,'Dashboard Items'!$A$2:$A$495,0)),"Level does not match ID")),"ID not found"))</f>
        <v/>
      </c>
      <c r="G274" s="395" t="n"/>
      <c r="H274" s="394">
        <f>IF(G274="","",IF(ISNUMBER(SEARCH(",",G274)),"Several items (the script lists them)",IFERROR(INDEX('Dashboard Items'!$B$2:$B$495,MATCH(G274,'Dashboard Items'!$A$2:$A$495,0))&amp;": "&amp;INDEX('Dashboard Items'!$C$2:$C$495,MATCH(G274,'Dashboard Items'!$A$2:$A$495,0)),"ID not found")))</f>
        <v/>
      </c>
      <c r="I274" s="393" t="n"/>
      <c r="J274" s="393" t="n"/>
      <c r="K274" s="393" t="n"/>
      <c r="L274" s="393" t="n"/>
      <c r="M274" s="393" t="n"/>
      <c r="N274" s="393" t="n"/>
      <c r="O274" s="393" t="n"/>
      <c r="P274" s="393" t="n"/>
      <c r="Q274" s="393" t="n"/>
      <c r="R274" s="393" t="n"/>
      <c r="S274" s="393" t="n"/>
      <c r="T274" s="393" t="n"/>
      <c r="U274" s="355">
        <f>IF(B274="","",IF(IF(D274&lt;&gt;"",D274,IFERROR(INDEX('Dashboard Items'!$B$2:$B$495,MATCH(E274,'Dashboard Items'!$A$2:$A$495,0)),""))="Key Service",IF(O274="No","Key Service: shown, not counted","Counts in Key Service gauge"),IF(IF(D274&lt;&gt;"",D274,IFERROR(INDEX('Dashboard Items'!$B$2:$B$495,MATCH(E274,'Dashboard Items'!$A$2:$A$495,0)),""))="Program",IF(ISNUMBER(SEARCH("ks",G274)),IF(O274="No","Program, also at Key Service: not counted","Counts in Key Service gauge + sets Program chip"),IF(O274="No","Program: shown, no status chip","Sets Program status chip")),IF(IF(D274&lt;&gt;"",D274,IFERROR(INDEX('Dashboard Items'!$B$2:$B$495,MATCH(E274,'Dashboard Items'!$A$2:$A$495,0)),""))="Work System","Work System: shown, not counted","Check Level"))))</f>
        <v/>
      </c>
    </row>
    <row r="275" ht="15" customHeight="1" s="210">
      <c r="B275" s="393" t="n"/>
      <c r="C275" s="393" t="n"/>
      <c r="D275" s="393" t="n"/>
      <c r="E275" s="393" t="n"/>
      <c r="F275" s="394">
        <f>IF(E275="","",IFERROR(IF(INDEX('Dashboard Items'!$B$2:$B$495,MATCH(E275,'Dashboard Items'!$A$2:$A$495,0))="Objective","Objectives go in the next column",IF(OR(D275="",INDEX('Dashboard Items'!$B$2:$B$495,MATCH(E275,'Dashboard Items'!$A$2:$A$495,0))=D275),INDEX('Dashboard Items'!$C$2:$C$495,MATCH(E275,'Dashboard Items'!$A$2:$A$495,0)),"Level does not match ID")),"ID not found"))</f>
        <v/>
      </c>
      <c r="G275" s="395" t="n"/>
      <c r="H275" s="394">
        <f>IF(G275="","",IF(ISNUMBER(SEARCH(",",G275)),"Several items (the script lists them)",IFERROR(INDEX('Dashboard Items'!$B$2:$B$495,MATCH(G275,'Dashboard Items'!$A$2:$A$495,0))&amp;": "&amp;INDEX('Dashboard Items'!$C$2:$C$495,MATCH(G275,'Dashboard Items'!$A$2:$A$495,0)),"ID not found")))</f>
        <v/>
      </c>
      <c r="I275" s="393" t="n"/>
      <c r="J275" s="393" t="n"/>
      <c r="K275" s="393" t="n"/>
      <c r="L275" s="393" t="n"/>
      <c r="M275" s="393" t="n"/>
      <c r="N275" s="393" t="n"/>
      <c r="O275" s="393" t="n"/>
      <c r="P275" s="393" t="n"/>
      <c r="Q275" s="393" t="n"/>
      <c r="R275" s="393" t="n"/>
      <c r="S275" s="393" t="n"/>
      <c r="T275" s="393" t="n"/>
      <c r="U275" s="355">
        <f>IF(B275="","",IF(IF(D275&lt;&gt;"",D275,IFERROR(INDEX('Dashboard Items'!$B$2:$B$495,MATCH(E275,'Dashboard Items'!$A$2:$A$495,0)),""))="Key Service",IF(O275="No","Key Service: shown, not counted","Counts in Key Service gauge"),IF(IF(D275&lt;&gt;"",D275,IFERROR(INDEX('Dashboard Items'!$B$2:$B$495,MATCH(E275,'Dashboard Items'!$A$2:$A$495,0)),""))="Program",IF(ISNUMBER(SEARCH("ks",G275)),IF(O275="No","Program, also at Key Service: not counted","Counts in Key Service gauge + sets Program chip"),IF(O275="No","Program: shown, no status chip","Sets Program status chip")),IF(IF(D275&lt;&gt;"",D275,IFERROR(INDEX('Dashboard Items'!$B$2:$B$495,MATCH(E275,'Dashboard Items'!$A$2:$A$495,0)),""))="Work System","Work System: shown, not counted","Check Level"))))</f>
        <v/>
      </c>
    </row>
    <row r="276" ht="15" customHeight="1" s="210">
      <c r="B276" s="393" t="n"/>
      <c r="C276" s="393" t="n"/>
      <c r="D276" s="393" t="n"/>
      <c r="E276" s="393" t="n"/>
      <c r="F276" s="394">
        <f>IF(E276="","",IFERROR(IF(INDEX('Dashboard Items'!$B$2:$B$495,MATCH(E276,'Dashboard Items'!$A$2:$A$495,0))="Objective","Objectives go in the next column",IF(OR(D276="",INDEX('Dashboard Items'!$B$2:$B$495,MATCH(E276,'Dashboard Items'!$A$2:$A$495,0))=D276),INDEX('Dashboard Items'!$C$2:$C$495,MATCH(E276,'Dashboard Items'!$A$2:$A$495,0)),"Level does not match ID")),"ID not found"))</f>
        <v/>
      </c>
      <c r="G276" s="395" t="n"/>
      <c r="H276" s="394">
        <f>IF(G276="","",IF(ISNUMBER(SEARCH(",",G276)),"Several items (the script lists them)",IFERROR(INDEX('Dashboard Items'!$B$2:$B$495,MATCH(G276,'Dashboard Items'!$A$2:$A$495,0))&amp;": "&amp;INDEX('Dashboard Items'!$C$2:$C$495,MATCH(G276,'Dashboard Items'!$A$2:$A$495,0)),"ID not found")))</f>
        <v/>
      </c>
      <c r="I276" s="393" t="n"/>
      <c r="J276" s="393" t="n"/>
      <c r="K276" s="393" t="n"/>
      <c r="L276" s="393" t="n"/>
      <c r="M276" s="393" t="n"/>
      <c r="N276" s="393" t="n"/>
      <c r="O276" s="393" t="n"/>
      <c r="P276" s="393" t="n"/>
      <c r="Q276" s="393" t="n"/>
      <c r="R276" s="393" t="n"/>
      <c r="S276" s="393" t="n"/>
      <c r="T276" s="393" t="n"/>
      <c r="U276" s="355">
        <f>IF(B276="","",IF(IF(D276&lt;&gt;"",D276,IFERROR(INDEX('Dashboard Items'!$B$2:$B$495,MATCH(E276,'Dashboard Items'!$A$2:$A$495,0)),""))="Key Service",IF(O276="No","Key Service: shown, not counted","Counts in Key Service gauge"),IF(IF(D276&lt;&gt;"",D276,IFERROR(INDEX('Dashboard Items'!$B$2:$B$495,MATCH(E276,'Dashboard Items'!$A$2:$A$495,0)),""))="Program",IF(ISNUMBER(SEARCH("ks",G276)),IF(O276="No","Program, also at Key Service: not counted","Counts in Key Service gauge + sets Program chip"),IF(O276="No","Program: shown, no status chip","Sets Program status chip")),IF(IF(D276&lt;&gt;"",D276,IFERROR(INDEX('Dashboard Items'!$B$2:$B$495,MATCH(E276,'Dashboard Items'!$A$2:$A$495,0)),""))="Work System","Work System: shown, not counted","Check Level"))))</f>
        <v/>
      </c>
    </row>
    <row r="277" ht="15" customHeight="1" s="210">
      <c r="B277" s="393" t="n"/>
      <c r="C277" s="393" t="n"/>
      <c r="D277" s="393" t="n"/>
      <c r="E277" s="393" t="n"/>
      <c r="F277" s="394">
        <f>IF(E277="","",IFERROR(IF(INDEX('Dashboard Items'!$B$2:$B$495,MATCH(E277,'Dashboard Items'!$A$2:$A$495,0))="Objective","Objectives go in the next column",IF(OR(D277="",INDEX('Dashboard Items'!$B$2:$B$495,MATCH(E277,'Dashboard Items'!$A$2:$A$495,0))=D277),INDEX('Dashboard Items'!$C$2:$C$495,MATCH(E277,'Dashboard Items'!$A$2:$A$495,0)),"Level does not match ID")),"ID not found"))</f>
        <v/>
      </c>
      <c r="G277" s="395" t="n"/>
      <c r="H277" s="394">
        <f>IF(G277="","",IF(ISNUMBER(SEARCH(",",G277)),"Several items (the script lists them)",IFERROR(INDEX('Dashboard Items'!$B$2:$B$495,MATCH(G277,'Dashboard Items'!$A$2:$A$495,0))&amp;": "&amp;INDEX('Dashboard Items'!$C$2:$C$495,MATCH(G277,'Dashboard Items'!$A$2:$A$495,0)),"ID not found")))</f>
        <v/>
      </c>
      <c r="I277" s="393" t="n"/>
      <c r="J277" s="393" t="n"/>
      <c r="K277" s="393" t="n"/>
      <c r="L277" s="393" t="n"/>
      <c r="M277" s="393" t="n"/>
      <c r="N277" s="393" t="n"/>
      <c r="O277" s="393" t="n"/>
      <c r="P277" s="393" t="n"/>
      <c r="Q277" s="393" t="n"/>
      <c r="R277" s="393" t="n"/>
      <c r="S277" s="393" t="n"/>
      <c r="T277" s="393" t="n"/>
      <c r="U277" s="355">
        <f>IF(B277="","",IF(IF(D277&lt;&gt;"",D277,IFERROR(INDEX('Dashboard Items'!$B$2:$B$495,MATCH(E277,'Dashboard Items'!$A$2:$A$495,0)),""))="Key Service",IF(O277="No","Key Service: shown, not counted","Counts in Key Service gauge"),IF(IF(D277&lt;&gt;"",D277,IFERROR(INDEX('Dashboard Items'!$B$2:$B$495,MATCH(E277,'Dashboard Items'!$A$2:$A$495,0)),""))="Program",IF(ISNUMBER(SEARCH("ks",G277)),IF(O277="No","Program, also at Key Service: not counted","Counts in Key Service gauge + sets Program chip"),IF(O277="No","Program: shown, no status chip","Sets Program status chip")),IF(IF(D277&lt;&gt;"",D277,IFERROR(INDEX('Dashboard Items'!$B$2:$B$495,MATCH(E277,'Dashboard Items'!$A$2:$A$495,0)),""))="Work System","Work System: shown, not counted","Check Level"))))</f>
        <v/>
      </c>
    </row>
    <row r="278" ht="15" customHeight="1" s="210">
      <c r="B278" s="393" t="n"/>
      <c r="C278" s="393" t="n"/>
      <c r="D278" s="393" t="n"/>
      <c r="E278" s="393" t="n"/>
      <c r="F278" s="394">
        <f>IF(E278="","",IFERROR(IF(INDEX('Dashboard Items'!$B$2:$B$495,MATCH(E278,'Dashboard Items'!$A$2:$A$495,0))="Objective","Objectives go in the next column",IF(OR(D278="",INDEX('Dashboard Items'!$B$2:$B$495,MATCH(E278,'Dashboard Items'!$A$2:$A$495,0))=D278),INDEX('Dashboard Items'!$C$2:$C$495,MATCH(E278,'Dashboard Items'!$A$2:$A$495,0)),"Level does not match ID")),"ID not found"))</f>
        <v/>
      </c>
      <c r="G278" s="395" t="n"/>
      <c r="H278" s="394">
        <f>IF(G278="","",IF(ISNUMBER(SEARCH(",",G278)),"Several items (the script lists them)",IFERROR(INDEX('Dashboard Items'!$B$2:$B$495,MATCH(G278,'Dashboard Items'!$A$2:$A$495,0))&amp;": "&amp;INDEX('Dashboard Items'!$C$2:$C$495,MATCH(G278,'Dashboard Items'!$A$2:$A$495,0)),"ID not found")))</f>
        <v/>
      </c>
      <c r="I278" s="393" t="n"/>
      <c r="J278" s="393" t="n"/>
      <c r="K278" s="393" t="n"/>
      <c r="L278" s="393" t="n"/>
      <c r="M278" s="393" t="n"/>
      <c r="N278" s="393" t="n"/>
      <c r="O278" s="393" t="n"/>
      <c r="P278" s="393" t="n"/>
      <c r="Q278" s="393" t="n"/>
      <c r="R278" s="393" t="n"/>
      <c r="S278" s="393" t="n"/>
      <c r="T278" s="393" t="n"/>
      <c r="U278" s="355">
        <f>IF(B278="","",IF(IF(D278&lt;&gt;"",D278,IFERROR(INDEX('Dashboard Items'!$B$2:$B$495,MATCH(E278,'Dashboard Items'!$A$2:$A$495,0)),""))="Key Service",IF(O278="No","Key Service: shown, not counted","Counts in Key Service gauge"),IF(IF(D278&lt;&gt;"",D278,IFERROR(INDEX('Dashboard Items'!$B$2:$B$495,MATCH(E278,'Dashboard Items'!$A$2:$A$495,0)),""))="Program",IF(ISNUMBER(SEARCH("ks",G278)),IF(O278="No","Program, also at Key Service: not counted","Counts in Key Service gauge + sets Program chip"),IF(O278="No","Program: shown, no status chip","Sets Program status chip")),IF(IF(D278&lt;&gt;"",D278,IFERROR(INDEX('Dashboard Items'!$B$2:$B$495,MATCH(E278,'Dashboard Items'!$A$2:$A$495,0)),""))="Work System","Work System: shown, not counted","Check Level"))))</f>
        <v/>
      </c>
    </row>
    <row r="279" ht="15" customHeight="1" s="210">
      <c r="B279" s="393" t="n"/>
      <c r="C279" s="393" t="n"/>
      <c r="D279" s="393" t="n"/>
      <c r="E279" s="393" t="n"/>
      <c r="F279" s="394">
        <f>IF(E279="","",IFERROR(IF(INDEX('Dashboard Items'!$B$2:$B$495,MATCH(E279,'Dashboard Items'!$A$2:$A$495,0))="Objective","Objectives go in the next column",IF(OR(D279="",INDEX('Dashboard Items'!$B$2:$B$495,MATCH(E279,'Dashboard Items'!$A$2:$A$495,0))=D279),INDEX('Dashboard Items'!$C$2:$C$495,MATCH(E279,'Dashboard Items'!$A$2:$A$495,0)),"Level does not match ID")),"ID not found"))</f>
        <v/>
      </c>
      <c r="G279" s="395" t="n"/>
      <c r="H279" s="394">
        <f>IF(G279="","",IF(ISNUMBER(SEARCH(",",G279)),"Several items (the script lists them)",IFERROR(INDEX('Dashboard Items'!$B$2:$B$495,MATCH(G279,'Dashboard Items'!$A$2:$A$495,0))&amp;": "&amp;INDEX('Dashboard Items'!$C$2:$C$495,MATCH(G279,'Dashboard Items'!$A$2:$A$495,0)),"ID not found")))</f>
        <v/>
      </c>
      <c r="I279" s="393" t="n"/>
      <c r="J279" s="393" t="n"/>
      <c r="K279" s="393" t="n"/>
      <c r="L279" s="393" t="n"/>
      <c r="M279" s="393" t="n"/>
      <c r="N279" s="393" t="n"/>
      <c r="O279" s="393" t="n"/>
      <c r="P279" s="393" t="n"/>
      <c r="Q279" s="393" t="n"/>
      <c r="R279" s="393" t="n"/>
      <c r="S279" s="393" t="n"/>
      <c r="T279" s="393" t="n"/>
      <c r="U279" s="355">
        <f>IF(B279="","",IF(IF(D279&lt;&gt;"",D279,IFERROR(INDEX('Dashboard Items'!$B$2:$B$495,MATCH(E279,'Dashboard Items'!$A$2:$A$495,0)),""))="Key Service",IF(O279="No","Key Service: shown, not counted","Counts in Key Service gauge"),IF(IF(D279&lt;&gt;"",D279,IFERROR(INDEX('Dashboard Items'!$B$2:$B$495,MATCH(E279,'Dashboard Items'!$A$2:$A$495,0)),""))="Program",IF(ISNUMBER(SEARCH("ks",G279)),IF(O279="No","Program, also at Key Service: not counted","Counts in Key Service gauge + sets Program chip"),IF(O279="No","Program: shown, no status chip","Sets Program status chip")),IF(IF(D279&lt;&gt;"",D279,IFERROR(INDEX('Dashboard Items'!$B$2:$B$495,MATCH(E279,'Dashboard Items'!$A$2:$A$495,0)),""))="Work System","Work System: shown, not counted","Check Level"))))</f>
        <v/>
      </c>
    </row>
    <row r="280" ht="15" customHeight="1" s="210">
      <c r="B280" s="393" t="n"/>
      <c r="C280" s="393" t="n"/>
      <c r="D280" s="393" t="n"/>
      <c r="E280" s="393" t="n"/>
      <c r="F280" s="394">
        <f>IF(E280="","",IFERROR(IF(INDEX('Dashboard Items'!$B$2:$B$495,MATCH(E280,'Dashboard Items'!$A$2:$A$495,0))="Objective","Objectives go in the next column",IF(OR(D280="",INDEX('Dashboard Items'!$B$2:$B$495,MATCH(E280,'Dashboard Items'!$A$2:$A$495,0))=D280),INDEX('Dashboard Items'!$C$2:$C$495,MATCH(E280,'Dashboard Items'!$A$2:$A$495,0)),"Level does not match ID")),"ID not found"))</f>
        <v/>
      </c>
      <c r="G280" s="395" t="n"/>
      <c r="H280" s="394">
        <f>IF(G280="","",IF(ISNUMBER(SEARCH(",",G280)),"Several items (the script lists them)",IFERROR(INDEX('Dashboard Items'!$B$2:$B$495,MATCH(G280,'Dashboard Items'!$A$2:$A$495,0))&amp;": "&amp;INDEX('Dashboard Items'!$C$2:$C$495,MATCH(G280,'Dashboard Items'!$A$2:$A$495,0)),"ID not found")))</f>
        <v/>
      </c>
      <c r="I280" s="393" t="n"/>
      <c r="J280" s="393" t="n"/>
      <c r="K280" s="393" t="n"/>
      <c r="L280" s="393" t="n"/>
      <c r="M280" s="393" t="n"/>
      <c r="N280" s="393" t="n"/>
      <c r="O280" s="393" t="n"/>
      <c r="P280" s="393" t="n"/>
      <c r="Q280" s="393" t="n"/>
      <c r="R280" s="393" t="n"/>
      <c r="S280" s="393" t="n"/>
      <c r="T280" s="393" t="n"/>
      <c r="U280" s="355">
        <f>IF(B280="","",IF(IF(D280&lt;&gt;"",D280,IFERROR(INDEX('Dashboard Items'!$B$2:$B$495,MATCH(E280,'Dashboard Items'!$A$2:$A$495,0)),""))="Key Service",IF(O280="No","Key Service: shown, not counted","Counts in Key Service gauge"),IF(IF(D280&lt;&gt;"",D280,IFERROR(INDEX('Dashboard Items'!$B$2:$B$495,MATCH(E280,'Dashboard Items'!$A$2:$A$495,0)),""))="Program",IF(ISNUMBER(SEARCH("ks",G280)),IF(O280="No","Program, also at Key Service: not counted","Counts in Key Service gauge + sets Program chip"),IF(O280="No","Program: shown, no status chip","Sets Program status chip")),IF(IF(D280&lt;&gt;"",D280,IFERROR(INDEX('Dashboard Items'!$B$2:$B$495,MATCH(E280,'Dashboard Items'!$A$2:$A$495,0)),""))="Work System","Work System: shown, not counted","Check Level"))))</f>
        <v/>
      </c>
    </row>
    <row r="281" ht="15" customHeight="1" s="210">
      <c r="B281" s="393" t="n"/>
      <c r="C281" s="393" t="n"/>
      <c r="D281" s="393" t="n"/>
      <c r="E281" s="393" t="n"/>
      <c r="F281" s="394">
        <f>IF(E281="","",IFERROR(IF(INDEX('Dashboard Items'!$B$2:$B$495,MATCH(E281,'Dashboard Items'!$A$2:$A$495,0))="Objective","Objectives go in the next column",IF(OR(D281="",INDEX('Dashboard Items'!$B$2:$B$495,MATCH(E281,'Dashboard Items'!$A$2:$A$495,0))=D281),INDEX('Dashboard Items'!$C$2:$C$495,MATCH(E281,'Dashboard Items'!$A$2:$A$495,0)),"Level does not match ID")),"ID not found"))</f>
        <v/>
      </c>
      <c r="G281" s="395" t="n"/>
      <c r="H281" s="394">
        <f>IF(G281="","",IF(ISNUMBER(SEARCH(",",G281)),"Several items (the script lists them)",IFERROR(INDEX('Dashboard Items'!$B$2:$B$495,MATCH(G281,'Dashboard Items'!$A$2:$A$495,0))&amp;": "&amp;INDEX('Dashboard Items'!$C$2:$C$495,MATCH(G281,'Dashboard Items'!$A$2:$A$495,0)),"ID not found")))</f>
        <v/>
      </c>
      <c r="I281" s="393" t="n"/>
      <c r="J281" s="393" t="n"/>
      <c r="K281" s="393" t="n"/>
      <c r="L281" s="393" t="n"/>
      <c r="M281" s="393" t="n"/>
      <c r="N281" s="393" t="n"/>
      <c r="O281" s="393" t="n"/>
      <c r="P281" s="393" t="n"/>
      <c r="Q281" s="393" t="n"/>
      <c r="R281" s="393" t="n"/>
      <c r="S281" s="393" t="n"/>
      <c r="T281" s="393" t="n"/>
      <c r="U281" s="355">
        <f>IF(B281="","",IF(IF(D281&lt;&gt;"",D281,IFERROR(INDEX('Dashboard Items'!$B$2:$B$495,MATCH(E281,'Dashboard Items'!$A$2:$A$495,0)),""))="Key Service",IF(O281="No","Key Service: shown, not counted","Counts in Key Service gauge"),IF(IF(D281&lt;&gt;"",D281,IFERROR(INDEX('Dashboard Items'!$B$2:$B$495,MATCH(E281,'Dashboard Items'!$A$2:$A$495,0)),""))="Program",IF(ISNUMBER(SEARCH("ks",G281)),IF(O281="No","Program, also at Key Service: not counted","Counts in Key Service gauge + sets Program chip"),IF(O281="No","Program: shown, no status chip","Sets Program status chip")),IF(IF(D281&lt;&gt;"",D281,IFERROR(INDEX('Dashboard Items'!$B$2:$B$495,MATCH(E281,'Dashboard Items'!$A$2:$A$495,0)),""))="Work System","Work System: shown, not counted","Check Level"))))</f>
        <v/>
      </c>
    </row>
    <row r="282" ht="15" customHeight="1" s="210">
      <c r="B282" s="393" t="n"/>
      <c r="C282" s="393" t="n"/>
      <c r="D282" s="393" t="n"/>
      <c r="E282" s="393" t="n"/>
      <c r="F282" s="394">
        <f>IF(E282="","",IFERROR(IF(INDEX('Dashboard Items'!$B$2:$B$495,MATCH(E282,'Dashboard Items'!$A$2:$A$495,0))="Objective","Objectives go in the next column",IF(OR(D282="",INDEX('Dashboard Items'!$B$2:$B$495,MATCH(E282,'Dashboard Items'!$A$2:$A$495,0))=D282),INDEX('Dashboard Items'!$C$2:$C$495,MATCH(E282,'Dashboard Items'!$A$2:$A$495,0)),"Level does not match ID")),"ID not found"))</f>
        <v/>
      </c>
      <c r="G282" s="395" t="n"/>
      <c r="H282" s="394">
        <f>IF(G282="","",IF(ISNUMBER(SEARCH(",",G282)),"Several items (the script lists them)",IFERROR(INDEX('Dashboard Items'!$B$2:$B$495,MATCH(G282,'Dashboard Items'!$A$2:$A$495,0))&amp;": "&amp;INDEX('Dashboard Items'!$C$2:$C$495,MATCH(G282,'Dashboard Items'!$A$2:$A$495,0)),"ID not found")))</f>
        <v/>
      </c>
      <c r="I282" s="393" t="n"/>
      <c r="J282" s="393" t="n"/>
      <c r="K282" s="393" t="n"/>
      <c r="L282" s="393" t="n"/>
      <c r="M282" s="393" t="n"/>
      <c r="N282" s="393" t="n"/>
      <c r="O282" s="393" t="n"/>
      <c r="P282" s="393" t="n"/>
      <c r="Q282" s="393" t="n"/>
      <c r="R282" s="393" t="n"/>
      <c r="S282" s="393" t="n"/>
      <c r="T282" s="393" t="n"/>
      <c r="U282" s="355">
        <f>IF(B282="","",IF(IF(D282&lt;&gt;"",D282,IFERROR(INDEX('Dashboard Items'!$B$2:$B$495,MATCH(E282,'Dashboard Items'!$A$2:$A$495,0)),""))="Key Service",IF(O282="No","Key Service: shown, not counted","Counts in Key Service gauge"),IF(IF(D282&lt;&gt;"",D282,IFERROR(INDEX('Dashboard Items'!$B$2:$B$495,MATCH(E282,'Dashboard Items'!$A$2:$A$495,0)),""))="Program",IF(ISNUMBER(SEARCH("ks",G282)),IF(O282="No","Program, also at Key Service: not counted","Counts in Key Service gauge + sets Program chip"),IF(O282="No","Program: shown, no status chip","Sets Program status chip")),IF(IF(D282&lt;&gt;"",D282,IFERROR(INDEX('Dashboard Items'!$B$2:$B$495,MATCH(E282,'Dashboard Items'!$A$2:$A$495,0)),""))="Work System","Work System: shown, not counted","Check Level"))))</f>
        <v/>
      </c>
    </row>
    <row r="283" ht="15" customHeight="1" s="210">
      <c r="B283" s="393" t="n"/>
      <c r="C283" s="393" t="n"/>
      <c r="D283" s="393" t="n"/>
      <c r="E283" s="393" t="n"/>
      <c r="F283" s="394">
        <f>IF(E283="","",IFERROR(IF(INDEX('Dashboard Items'!$B$2:$B$495,MATCH(E283,'Dashboard Items'!$A$2:$A$495,0))="Objective","Objectives go in the next column",IF(OR(D283="",INDEX('Dashboard Items'!$B$2:$B$495,MATCH(E283,'Dashboard Items'!$A$2:$A$495,0))=D283),INDEX('Dashboard Items'!$C$2:$C$495,MATCH(E283,'Dashboard Items'!$A$2:$A$495,0)),"Level does not match ID")),"ID not found"))</f>
        <v/>
      </c>
      <c r="G283" s="395" t="n"/>
      <c r="H283" s="394">
        <f>IF(G283="","",IF(ISNUMBER(SEARCH(",",G283)),"Several items (the script lists them)",IFERROR(INDEX('Dashboard Items'!$B$2:$B$495,MATCH(G283,'Dashboard Items'!$A$2:$A$495,0))&amp;": "&amp;INDEX('Dashboard Items'!$C$2:$C$495,MATCH(G283,'Dashboard Items'!$A$2:$A$495,0)),"ID not found")))</f>
        <v/>
      </c>
      <c r="I283" s="393" t="n"/>
      <c r="J283" s="393" t="n"/>
      <c r="K283" s="393" t="n"/>
      <c r="L283" s="393" t="n"/>
      <c r="M283" s="393" t="n"/>
      <c r="N283" s="393" t="n"/>
      <c r="O283" s="393" t="n"/>
      <c r="P283" s="393" t="n"/>
      <c r="Q283" s="393" t="n"/>
      <c r="R283" s="393" t="n"/>
      <c r="S283" s="393" t="n"/>
      <c r="T283" s="393" t="n"/>
      <c r="U283" s="355">
        <f>IF(B283="","",IF(IF(D283&lt;&gt;"",D283,IFERROR(INDEX('Dashboard Items'!$B$2:$B$495,MATCH(E283,'Dashboard Items'!$A$2:$A$495,0)),""))="Key Service",IF(O283="No","Key Service: shown, not counted","Counts in Key Service gauge"),IF(IF(D283&lt;&gt;"",D283,IFERROR(INDEX('Dashboard Items'!$B$2:$B$495,MATCH(E283,'Dashboard Items'!$A$2:$A$495,0)),""))="Program",IF(ISNUMBER(SEARCH("ks",G283)),IF(O283="No","Program, also at Key Service: not counted","Counts in Key Service gauge + sets Program chip"),IF(O283="No","Program: shown, no status chip","Sets Program status chip")),IF(IF(D283&lt;&gt;"",D283,IFERROR(INDEX('Dashboard Items'!$B$2:$B$495,MATCH(E283,'Dashboard Items'!$A$2:$A$495,0)),""))="Work System","Work System: shown, not counted","Check Level"))))</f>
        <v/>
      </c>
    </row>
    <row r="284" ht="15" customHeight="1" s="210">
      <c r="B284" s="393" t="n"/>
      <c r="C284" s="393" t="n"/>
      <c r="D284" s="393" t="n"/>
      <c r="E284" s="393" t="n"/>
      <c r="F284" s="394">
        <f>IF(E284="","",IFERROR(IF(INDEX('Dashboard Items'!$B$2:$B$495,MATCH(E284,'Dashboard Items'!$A$2:$A$495,0))="Objective","Objectives go in the next column",IF(OR(D284="",INDEX('Dashboard Items'!$B$2:$B$495,MATCH(E284,'Dashboard Items'!$A$2:$A$495,0))=D284),INDEX('Dashboard Items'!$C$2:$C$495,MATCH(E284,'Dashboard Items'!$A$2:$A$495,0)),"Level does not match ID")),"ID not found"))</f>
        <v/>
      </c>
      <c r="G284" s="395" t="n"/>
      <c r="H284" s="394">
        <f>IF(G284="","",IF(ISNUMBER(SEARCH(",",G284)),"Several items (the script lists them)",IFERROR(INDEX('Dashboard Items'!$B$2:$B$495,MATCH(G284,'Dashboard Items'!$A$2:$A$495,0))&amp;": "&amp;INDEX('Dashboard Items'!$C$2:$C$495,MATCH(G284,'Dashboard Items'!$A$2:$A$495,0)),"ID not found")))</f>
        <v/>
      </c>
      <c r="I284" s="393" t="n"/>
      <c r="J284" s="393" t="n"/>
      <c r="K284" s="393" t="n"/>
      <c r="L284" s="393" t="n"/>
      <c r="M284" s="393" t="n"/>
      <c r="N284" s="393" t="n"/>
      <c r="O284" s="393" t="n"/>
      <c r="P284" s="393" t="n"/>
      <c r="Q284" s="393" t="n"/>
      <c r="R284" s="393" t="n"/>
      <c r="S284" s="393" t="n"/>
      <c r="T284" s="393" t="n"/>
      <c r="U284" s="355">
        <f>IF(B284="","",IF(IF(D284&lt;&gt;"",D284,IFERROR(INDEX('Dashboard Items'!$B$2:$B$495,MATCH(E284,'Dashboard Items'!$A$2:$A$495,0)),""))="Key Service",IF(O284="No","Key Service: shown, not counted","Counts in Key Service gauge"),IF(IF(D284&lt;&gt;"",D284,IFERROR(INDEX('Dashboard Items'!$B$2:$B$495,MATCH(E284,'Dashboard Items'!$A$2:$A$495,0)),""))="Program",IF(ISNUMBER(SEARCH("ks",G284)),IF(O284="No","Program, also at Key Service: not counted","Counts in Key Service gauge + sets Program chip"),IF(O284="No","Program: shown, no status chip","Sets Program status chip")),IF(IF(D284&lt;&gt;"",D284,IFERROR(INDEX('Dashboard Items'!$B$2:$B$495,MATCH(E284,'Dashboard Items'!$A$2:$A$495,0)),""))="Work System","Work System: shown, not counted","Check Level"))))</f>
        <v/>
      </c>
    </row>
    <row r="285" ht="15" customHeight="1" s="210">
      <c r="B285" s="393" t="n"/>
      <c r="C285" s="393" t="n"/>
      <c r="D285" s="393" t="n"/>
      <c r="E285" s="393" t="n"/>
      <c r="F285" s="394">
        <f>IF(E285="","",IFERROR(IF(INDEX('Dashboard Items'!$B$2:$B$495,MATCH(E285,'Dashboard Items'!$A$2:$A$495,0))="Objective","Objectives go in the next column",IF(OR(D285="",INDEX('Dashboard Items'!$B$2:$B$495,MATCH(E285,'Dashboard Items'!$A$2:$A$495,0))=D285),INDEX('Dashboard Items'!$C$2:$C$495,MATCH(E285,'Dashboard Items'!$A$2:$A$495,0)),"Level does not match ID")),"ID not found"))</f>
        <v/>
      </c>
      <c r="G285" s="395" t="n"/>
      <c r="H285" s="394">
        <f>IF(G285="","",IF(ISNUMBER(SEARCH(",",G285)),"Several items (the script lists them)",IFERROR(INDEX('Dashboard Items'!$B$2:$B$495,MATCH(G285,'Dashboard Items'!$A$2:$A$495,0))&amp;": "&amp;INDEX('Dashboard Items'!$C$2:$C$495,MATCH(G285,'Dashboard Items'!$A$2:$A$495,0)),"ID not found")))</f>
        <v/>
      </c>
      <c r="I285" s="393" t="n"/>
      <c r="J285" s="393" t="n"/>
      <c r="K285" s="393" t="n"/>
      <c r="L285" s="393" t="n"/>
      <c r="M285" s="393" t="n"/>
      <c r="N285" s="393" t="n"/>
      <c r="O285" s="393" t="n"/>
      <c r="P285" s="393" t="n"/>
      <c r="Q285" s="393" t="n"/>
      <c r="R285" s="393" t="n"/>
      <c r="S285" s="393" t="n"/>
      <c r="T285" s="393" t="n"/>
      <c r="U285" s="355">
        <f>IF(B285="","",IF(IF(D285&lt;&gt;"",D285,IFERROR(INDEX('Dashboard Items'!$B$2:$B$495,MATCH(E285,'Dashboard Items'!$A$2:$A$495,0)),""))="Key Service",IF(O285="No","Key Service: shown, not counted","Counts in Key Service gauge"),IF(IF(D285&lt;&gt;"",D285,IFERROR(INDEX('Dashboard Items'!$B$2:$B$495,MATCH(E285,'Dashboard Items'!$A$2:$A$495,0)),""))="Program",IF(ISNUMBER(SEARCH("ks",G285)),IF(O285="No","Program, also at Key Service: not counted","Counts in Key Service gauge + sets Program chip"),IF(O285="No","Program: shown, no status chip","Sets Program status chip")),IF(IF(D285&lt;&gt;"",D285,IFERROR(INDEX('Dashboard Items'!$B$2:$B$495,MATCH(E285,'Dashboard Items'!$A$2:$A$495,0)),""))="Work System","Work System: shown, not counted","Check Level"))))</f>
        <v/>
      </c>
    </row>
    <row r="286" ht="15" customHeight="1" s="210">
      <c r="B286" s="393" t="n"/>
      <c r="C286" s="393" t="n"/>
      <c r="D286" s="393" t="n"/>
      <c r="E286" s="393" t="n"/>
      <c r="F286" s="394">
        <f>IF(E286="","",IFERROR(IF(INDEX('Dashboard Items'!$B$2:$B$495,MATCH(E286,'Dashboard Items'!$A$2:$A$495,0))="Objective","Objectives go in the next column",IF(OR(D286="",INDEX('Dashboard Items'!$B$2:$B$495,MATCH(E286,'Dashboard Items'!$A$2:$A$495,0))=D286),INDEX('Dashboard Items'!$C$2:$C$495,MATCH(E286,'Dashboard Items'!$A$2:$A$495,0)),"Level does not match ID")),"ID not found"))</f>
        <v/>
      </c>
      <c r="G286" s="395" t="n"/>
      <c r="H286" s="394">
        <f>IF(G286="","",IF(ISNUMBER(SEARCH(",",G286)),"Several items (the script lists them)",IFERROR(INDEX('Dashboard Items'!$B$2:$B$495,MATCH(G286,'Dashboard Items'!$A$2:$A$495,0))&amp;": "&amp;INDEX('Dashboard Items'!$C$2:$C$495,MATCH(G286,'Dashboard Items'!$A$2:$A$495,0)),"ID not found")))</f>
        <v/>
      </c>
      <c r="I286" s="393" t="n"/>
      <c r="J286" s="393" t="n"/>
      <c r="K286" s="393" t="n"/>
      <c r="L286" s="393" t="n"/>
      <c r="M286" s="393" t="n"/>
      <c r="N286" s="393" t="n"/>
      <c r="O286" s="393" t="n"/>
      <c r="P286" s="393" t="n"/>
      <c r="Q286" s="393" t="n"/>
      <c r="R286" s="393" t="n"/>
      <c r="S286" s="393" t="n"/>
      <c r="T286" s="393" t="n"/>
      <c r="U286" s="355">
        <f>IF(B286="","",IF(IF(D286&lt;&gt;"",D286,IFERROR(INDEX('Dashboard Items'!$B$2:$B$495,MATCH(E286,'Dashboard Items'!$A$2:$A$495,0)),""))="Key Service",IF(O286="No","Key Service: shown, not counted","Counts in Key Service gauge"),IF(IF(D286&lt;&gt;"",D286,IFERROR(INDEX('Dashboard Items'!$B$2:$B$495,MATCH(E286,'Dashboard Items'!$A$2:$A$495,0)),""))="Program",IF(ISNUMBER(SEARCH("ks",G286)),IF(O286="No","Program, also at Key Service: not counted","Counts in Key Service gauge + sets Program chip"),IF(O286="No","Program: shown, no status chip","Sets Program status chip")),IF(IF(D286&lt;&gt;"",D286,IFERROR(INDEX('Dashboard Items'!$B$2:$B$495,MATCH(E286,'Dashboard Items'!$A$2:$A$495,0)),""))="Work System","Work System: shown, not counted","Check Level"))))</f>
        <v/>
      </c>
    </row>
    <row r="287" ht="15" customHeight="1" s="210">
      <c r="B287" s="393" t="n"/>
      <c r="C287" s="393" t="n"/>
      <c r="D287" s="393" t="n"/>
      <c r="E287" s="393" t="n"/>
      <c r="F287" s="394">
        <f>IF(E287="","",IFERROR(IF(INDEX('Dashboard Items'!$B$2:$B$495,MATCH(E287,'Dashboard Items'!$A$2:$A$495,0))="Objective","Objectives go in the next column",IF(OR(D287="",INDEX('Dashboard Items'!$B$2:$B$495,MATCH(E287,'Dashboard Items'!$A$2:$A$495,0))=D287),INDEX('Dashboard Items'!$C$2:$C$495,MATCH(E287,'Dashboard Items'!$A$2:$A$495,0)),"Level does not match ID")),"ID not found"))</f>
        <v/>
      </c>
      <c r="G287" s="395" t="n"/>
      <c r="H287" s="394">
        <f>IF(G287="","",IF(ISNUMBER(SEARCH(",",G287)),"Several items (the script lists them)",IFERROR(INDEX('Dashboard Items'!$B$2:$B$495,MATCH(G287,'Dashboard Items'!$A$2:$A$495,0))&amp;": "&amp;INDEX('Dashboard Items'!$C$2:$C$495,MATCH(G287,'Dashboard Items'!$A$2:$A$495,0)),"ID not found")))</f>
        <v/>
      </c>
      <c r="I287" s="393" t="n"/>
      <c r="J287" s="393" t="n"/>
      <c r="K287" s="393" t="n"/>
      <c r="L287" s="393" t="n"/>
      <c r="M287" s="393" t="n"/>
      <c r="N287" s="393" t="n"/>
      <c r="O287" s="393" t="n"/>
      <c r="P287" s="393" t="n"/>
      <c r="Q287" s="393" t="n"/>
      <c r="R287" s="393" t="n"/>
      <c r="S287" s="393" t="n"/>
      <c r="T287" s="393" t="n"/>
      <c r="U287" s="355">
        <f>IF(B287="","",IF(IF(D287&lt;&gt;"",D287,IFERROR(INDEX('Dashboard Items'!$B$2:$B$495,MATCH(E287,'Dashboard Items'!$A$2:$A$495,0)),""))="Key Service",IF(O287="No","Key Service: shown, not counted","Counts in Key Service gauge"),IF(IF(D287&lt;&gt;"",D287,IFERROR(INDEX('Dashboard Items'!$B$2:$B$495,MATCH(E287,'Dashboard Items'!$A$2:$A$495,0)),""))="Program",IF(ISNUMBER(SEARCH("ks",G287)),IF(O287="No","Program, also at Key Service: not counted","Counts in Key Service gauge + sets Program chip"),IF(O287="No","Program: shown, no status chip","Sets Program status chip")),IF(IF(D287&lt;&gt;"",D287,IFERROR(INDEX('Dashboard Items'!$B$2:$B$495,MATCH(E287,'Dashboard Items'!$A$2:$A$495,0)),""))="Work System","Work System: shown, not counted","Check Level"))))</f>
        <v/>
      </c>
    </row>
    <row r="288" ht="15" customHeight="1" s="210">
      <c r="B288" s="393" t="n"/>
      <c r="C288" s="393" t="n"/>
      <c r="D288" s="393" t="n"/>
      <c r="E288" s="393" t="n"/>
      <c r="F288" s="394">
        <f>IF(E288="","",IFERROR(IF(INDEX('Dashboard Items'!$B$2:$B$495,MATCH(E288,'Dashboard Items'!$A$2:$A$495,0))="Objective","Objectives go in the next column",IF(OR(D288="",INDEX('Dashboard Items'!$B$2:$B$495,MATCH(E288,'Dashboard Items'!$A$2:$A$495,0))=D288),INDEX('Dashboard Items'!$C$2:$C$495,MATCH(E288,'Dashboard Items'!$A$2:$A$495,0)),"Level does not match ID")),"ID not found"))</f>
        <v/>
      </c>
      <c r="G288" s="395" t="n"/>
      <c r="H288" s="394">
        <f>IF(G288="","",IF(ISNUMBER(SEARCH(",",G288)),"Several items (the script lists them)",IFERROR(INDEX('Dashboard Items'!$B$2:$B$495,MATCH(G288,'Dashboard Items'!$A$2:$A$495,0))&amp;": "&amp;INDEX('Dashboard Items'!$C$2:$C$495,MATCH(G288,'Dashboard Items'!$A$2:$A$495,0)),"ID not found")))</f>
        <v/>
      </c>
      <c r="I288" s="393" t="n"/>
      <c r="J288" s="393" t="n"/>
      <c r="K288" s="393" t="n"/>
      <c r="L288" s="393" t="n"/>
      <c r="M288" s="393" t="n"/>
      <c r="N288" s="393" t="n"/>
      <c r="O288" s="393" t="n"/>
      <c r="P288" s="393" t="n"/>
      <c r="Q288" s="393" t="n"/>
      <c r="R288" s="393" t="n"/>
      <c r="S288" s="393" t="n"/>
      <c r="T288" s="393" t="n"/>
      <c r="U288" s="355">
        <f>IF(B288="","",IF(IF(D288&lt;&gt;"",D288,IFERROR(INDEX('Dashboard Items'!$B$2:$B$495,MATCH(E288,'Dashboard Items'!$A$2:$A$495,0)),""))="Key Service",IF(O288="No","Key Service: shown, not counted","Counts in Key Service gauge"),IF(IF(D288&lt;&gt;"",D288,IFERROR(INDEX('Dashboard Items'!$B$2:$B$495,MATCH(E288,'Dashboard Items'!$A$2:$A$495,0)),""))="Program",IF(ISNUMBER(SEARCH("ks",G288)),IF(O288="No","Program, also at Key Service: not counted","Counts in Key Service gauge + sets Program chip"),IF(O288="No","Program: shown, no status chip","Sets Program status chip")),IF(IF(D288&lt;&gt;"",D288,IFERROR(INDEX('Dashboard Items'!$B$2:$B$495,MATCH(E288,'Dashboard Items'!$A$2:$A$495,0)),""))="Work System","Work System: shown, not counted","Check Level"))))</f>
        <v/>
      </c>
    </row>
    <row r="289" ht="15" customHeight="1" s="210">
      <c r="B289" s="393" t="n"/>
      <c r="C289" s="393" t="n"/>
      <c r="D289" s="393" t="n"/>
      <c r="E289" s="393" t="n"/>
      <c r="F289" s="394">
        <f>IF(E289="","",IFERROR(IF(INDEX('Dashboard Items'!$B$2:$B$495,MATCH(E289,'Dashboard Items'!$A$2:$A$495,0))="Objective","Objectives go in the next column",IF(OR(D289="",INDEX('Dashboard Items'!$B$2:$B$495,MATCH(E289,'Dashboard Items'!$A$2:$A$495,0))=D289),INDEX('Dashboard Items'!$C$2:$C$495,MATCH(E289,'Dashboard Items'!$A$2:$A$495,0)),"Level does not match ID")),"ID not found"))</f>
        <v/>
      </c>
      <c r="G289" s="395" t="n"/>
      <c r="H289" s="394">
        <f>IF(G289="","",IF(ISNUMBER(SEARCH(",",G289)),"Several items (the script lists them)",IFERROR(INDEX('Dashboard Items'!$B$2:$B$495,MATCH(G289,'Dashboard Items'!$A$2:$A$495,0))&amp;": "&amp;INDEX('Dashboard Items'!$C$2:$C$495,MATCH(G289,'Dashboard Items'!$A$2:$A$495,0)),"ID not found")))</f>
        <v/>
      </c>
      <c r="I289" s="393" t="n"/>
      <c r="J289" s="393" t="n"/>
      <c r="K289" s="393" t="n"/>
      <c r="L289" s="393" t="n"/>
      <c r="M289" s="393" t="n"/>
      <c r="N289" s="393" t="n"/>
      <c r="O289" s="393" t="n"/>
      <c r="P289" s="393" t="n"/>
      <c r="Q289" s="393" t="n"/>
      <c r="R289" s="393" t="n"/>
      <c r="S289" s="393" t="n"/>
      <c r="T289" s="393" t="n"/>
      <c r="U289" s="355">
        <f>IF(B289="","",IF(IF(D289&lt;&gt;"",D289,IFERROR(INDEX('Dashboard Items'!$B$2:$B$495,MATCH(E289,'Dashboard Items'!$A$2:$A$495,0)),""))="Key Service",IF(O289="No","Key Service: shown, not counted","Counts in Key Service gauge"),IF(IF(D289&lt;&gt;"",D289,IFERROR(INDEX('Dashboard Items'!$B$2:$B$495,MATCH(E289,'Dashboard Items'!$A$2:$A$495,0)),""))="Program",IF(ISNUMBER(SEARCH("ks",G289)),IF(O289="No","Program, also at Key Service: not counted","Counts in Key Service gauge + sets Program chip"),IF(O289="No","Program: shown, no status chip","Sets Program status chip")),IF(IF(D289&lt;&gt;"",D289,IFERROR(INDEX('Dashboard Items'!$B$2:$B$495,MATCH(E289,'Dashboard Items'!$A$2:$A$495,0)),""))="Work System","Work System: shown, not counted","Check Level"))))</f>
        <v/>
      </c>
    </row>
    <row r="290" ht="15" customHeight="1" s="210">
      <c r="B290" s="393" t="n"/>
      <c r="C290" s="393" t="n"/>
      <c r="D290" s="393" t="n"/>
      <c r="E290" s="393" t="n"/>
      <c r="F290" s="394">
        <f>IF(E290="","",IFERROR(IF(INDEX('Dashboard Items'!$B$2:$B$495,MATCH(E290,'Dashboard Items'!$A$2:$A$495,0))="Objective","Objectives go in the next column",IF(OR(D290="",INDEX('Dashboard Items'!$B$2:$B$495,MATCH(E290,'Dashboard Items'!$A$2:$A$495,0))=D290),INDEX('Dashboard Items'!$C$2:$C$495,MATCH(E290,'Dashboard Items'!$A$2:$A$495,0)),"Level does not match ID")),"ID not found"))</f>
        <v/>
      </c>
      <c r="G290" s="395" t="n"/>
      <c r="H290" s="394">
        <f>IF(G290="","",IF(ISNUMBER(SEARCH(",",G290)),"Several items (the script lists them)",IFERROR(INDEX('Dashboard Items'!$B$2:$B$495,MATCH(G290,'Dashboard Items'!$A$2:$A$495,0))&amp;": "&amp;INDEX('Dashboard Items'!$C$2:$C$495,MATCH(G290,'Dashboard Items'!$A$2:$A$495,0)),"ID not found")))</f>
        <v/>
      </c>
      <c r="I290" s="393" t="n"/>
      <c r="J290" s="393" t="n"/>
      <c r="K290" s="393" t="n"/>
      <c r="L290" s="393" t="n"/>
      <c r="M290" s="393" t="n"/>
      <c r="N290" s="393" t="n"/>
      <c r="O290" s="393" t="n"/>
      <c r="P290" s="393" t="n"/>
      <c r="Q290" s="393" t="n"/>
      <c r="R290" s="393" t="n"/>
      <c r="S290" s="393" t="n"/>
      <c r="T290" s="393" t="n"/>
      <c r="U290" s="355">
        <f>IF(B290="","",IF(IF(D290&lt;&gt;"",D290,IFERROR(INDEX('Dashboard Items'!$B$2:$B$495,MATCH(E290,'Dashboard Items'!$A$2:$A$495,0)),""))="Key Service",IF(O290="No","Key Service: shown, not counted","Counts in Key Service gauge"),IF(IF(D290&lt;&gt;"",D290,IFERROR(INDEX('Dashboard Items'!$B$2:$B$495,MATCH(E290,'Dashboard Items'!$A$2:$A$495,0)),""))="Program",IF(ISNUMBER(SEARCH("ks",G290)),IF(O290="No","Program, also at Key Service: not counted","Counts in Key Service gauge + sets Program chip"),IF(O290="No","Program: shown, no status chip","Sets Program status chip")),IF(IF(D290&lt;&gt;"",D290,IFERROR(INDEX('Dashboard Items'!$B$2:$B$495,MATCH(E290,'Dashboard Items'!$A$2:$A$495,0)),""))="Work System","Work System: shown, not counted","Check Level"))))</f>
        <v/>
      </c>
    </row>
    <row r="291" ht="15" customHeight="1" s="210">
      <c r="B291" s="393" t="n"/>
      <c r="C291" s="393" t="n"/>
      <c r="D291" s="393" t="n"/>
      <c r="E291" s="393" t="n"/>
      <c r="F291" s="394">
        <f>IF(E291="","",IFERROR(IF(INDEX('Dashboard Items'!$B$2:$B$495,MATCH(E291,'Dashboard Items'!$A$2:$A$495,0))="Objective","Objectives go in the next column",IF(OR(D291="",INDEX('Dashboard Items'!$B$2:$B$495,MATCH(E291,'Dashboard Items'!$A$2:$A$495,0))=D291),INDEX('Dashboard Items'!$C$2:$C$495,MATCH(E291,'Dashboard Items'!$A$2:$A$495,0)),"Level does not match ID")),"ID not found"))</f>
        <v/>
      </c>
      <c r="G291" s="395" t="n"/>
      <c r="H291" s="394">
        <f>IF(G291="","",IF(ISNUMBER(SEARCH(",",G291)),"Several items (the script lists them)",IFERROR(INDEX('Dashboard Items'!$B$2:$B$495,MATCH(G291,'Dashboard Items'!$A$2:$A$495,0))&amp;": "&amp;INDEX('Dashboard Items'!$C$2:$C$495,MATCH(G291,'Dashboard Items'!$A$2:$A$495,0)),"ID not found")))</f>
        <v/>
      </c>
      <c r="I291" s="393" t="n"/>
      <c r="J291" s="393" t="n"/>
      <c r="K291" s="393" t="n"/>
      <c r="L291" s="393" t="n"/>
      <c r="M291" s="393" t="n"/>
      <c r="N291" s="393" t="n"/>
      <c r="O291" s="393" t="n"/>
      <c r="P291" s="393" t="n"/>
      <c r="Q291" s="393" t="n"/>
      <c r="R291" s="393" t="n"/>
      <c r="S291" s="393" t="n"/>
      <c r="T291" s="393" t="n"/>
      <c r="U291" s="355">
        <f>IF(B291="","",IF(IF(D291&lt;&gt;"",D291,IFERROR(INDEX('Dashboard Items'!$B$2:$B$495,MATCH(E291,'Dashboard Items'!$A$2:$A$495,0)),""))="Key Service",IF(O291="No","Key Service: shown, not counted","Counts in Key Service gauge"),IF(IF(D291&lt;&gt;"",D291,IFERROR(INDEX('Dashboard Items'!$B$2:$B$495,MATCH(E291,'Dashboard Items'!$A$2:$A$495,0)),""))="Program",IF(ISNUMBER(SEARCH("ks",G291)),IF(O291="No","Program, also at Key Service: not counted","Counts in Key Service gauge + sets Program chip"),IF(O291="No","Program: shown, no status chip","Sets Program status chip")),IF(IF(D291&lt;&gt;"",D291,IFERROR(INDEX('Dashboard Items'!$B$2:$B$495,MATCH(E291,'Dashboard Items'!$A$2:$A$495,0)),""))="Work System","Work System: shown, not counted","Check Level"))))</f>
        <v/>
      </c>
    </row>
    <row r="292" ht="15" customHeight="1" s="210">
      <c r="B292" s="393" t="n"/>
      <c r="C292" s="393" t="n"/>
      <c r="D292" s="393" t="n"/>
      <c r="E292" s="393" t="n"/>
      <c r="F292" s="394">
        <f>IF(E292="","",IFERROR(IF(INDEX('Dashboard Items'!$B$2:$B$495,MATCH(E292,'Dashboard Items'!$A$2:$A$495,0))="Objective","Objectives go in the next column",IF(OR(D292="",INDEX('Dashboard Items'!$B$2:$B$495,MATCH(E292,'Dashboard Items'!$A$2:$A$495,0))=D292),INDEX('Dashboard Items'!$C$2:$C$495,MATCH(E292,'Dashboard Items'!$A$2:$A$495,0)),"Level does not match ID")),"ID not found"))</f>
        <v/>
      </c>
      <c r="G292" s="395" t="n"/>
      <c r="H292" s="394">
        <f>IF(G292="","",IF(ISNUMBER(SEARCH(",",G292)),"Several items (the script lists them)",IFERROR(INDEX('Dashboard Items'!$B$2:$B$495,MATCH(G292,'Dashboard Items'!$A$2:$A$495,0))&amp;": "&amp;INDEX('Dashboard Items'!$C$2:$C$495,MATCH(G292,'Dashboard Items'!$A$2:$A$495,0)),"ID not found")))</f>
        <v/>
      </c>
      <c r="I292" s="393" t="n"/>
      <c r="J292" s="393" t="n"/>
      <c r="K292" s="393" t="n"/>
      <c r="L292" s="393" t="n"/>
      <c r="M292" s="393" t="n"/>
      <c r="N292" s="393" t="n"/>
      <c r="O292" s="393" t="n"/>
      <c r="P292" s="393" t="n"/>
      <c r="Q292" s="393" t="n"/>
      <c r="R292" s="393" t="n"/>
      <c r="S292" s="393" t="n"/>
      <c r="T292" s="393" t="n"/>
      <c r="U292" s="355">
        <f>IF(B292="","",IF(IF(D292&lt;&gt;"",D292,IFERROR(INDEX('Dashboard Items'!$B$2:$B$495,MATCH(E292,'Dashboard Items'!$A$2:$A$495,0)),""))="Key Service",IF(O292="No","Key Service: shown, not counted","Counts in Key Service gauge"),IF(IF(D292&lt;&gt;"",D292,IFERROR(INDEX('Dashboard Items'!$B$2:$B$495,MATCH(E292,'Dashboard Items'!$A$2:$A$495,0)),""))="Program",IF(ISNUMBER(SEARCH("ks",G292)),IF(O292="No","Program, also at Key Service: not counted","Counts in Key Service gauge + sets Program chip"),IF(O292="No","Program: shown, no status chip","Sets Program status chip")),IF(IF(D292&lt;&gt;"",D292,IFERROR(INDEX('Dashboard Items'!$B$2:$B$495,MATCH(E292,'Dashboard Items'!$A$2:$A$495,0)),""))="Work System","Work System: shown, not counted","Check Level"))))</f>
        <v/>
      </c>
    </row>
    <row r="293" ht="15" customHeight="1" s="210">
      <c r="B293" s="393" t="n"/>
      <c r="C293" s="393" t="n"/>
      <c r="D293" s="393" t="n"/>
      <c r="E293" s="393" t="n"/>
      <c r="F293" s="394">
        <f>IF(E293="","",IFERROR(IF(INDEX('Dashboard Items'!$B$2:$B$495,MATCH(E293,'Dashboard Items'!$A$2:$A$495,0))="Objective","Objectives go in the next column",IF(OR(D293="",INDEX('Dashboard Items'!$B$2:$B$495,MATCH(E293,'Dashboard Items'!$A$2:$A$495,0))=D293),INDEX('Dashboard Items'!$C$2:$C$495,MATCH(E293,'Dashboard Items'!$A$2:$A$495,0)),"Level does not match ID")),"ID not found"))</f>
        <v/>
      </c>
      <c r="G293" s="395" t="n"/>
      <c r="H293" s="394">
        <f>IF(G293="","",IF(ISNUMBER(SEARCH(",",G293)),"Several items (the script lists them)",IFERROR(INDEX('Dashboard Items'!$B$2:$B$495,MATCH(G293,'Dashboard Items'!$A$2:$A$495,0))&amp;": "&amp;INDEX('Dashboard Items'!$C$2:$C$495,MATCH(G293,'Dashboard Items'!$A$2:$A$495,0)),"ID not found")))</f>
        <v/>
      </c>
      <c r="I293" s="393" t="n"/>
      <c r="J293" s="393" t="n"/>
      <c r="K293" s="393" t="n"/>
      <c r="L293" s="393" t="n"/>
      <c r="M293" s="393" t="n"/>
      <c r="N293" s="393" t="n"/>
      <c r="O293" s="393" t="n"/>
      <c r="P293" s="393" t="n"/>
      <c r="Q293" s="393" t="n"/>
      <c r="R293" s="393" t="n"/>
      <c r="S293" s="393" t="n"/>
      <c r="T293" s="393" t="n"/>
      <c r="U293" s="355">
        <f>IF(B293="","",IF(IF(D293&lt;&gt;"",D293,IFERROR(INDEX('Dashboard Items'!$B$2:$B$495,MATCH(E293,'Dashboard Items'!$A$2:$A$495,0)),""))="Key Service",IF(O293="No","Key Service: shown, not counted","Counts in Key Service gauge"),IF(IF(D293&lt;&gt;"",D293,IFERROR(INDEX('Dashboard Items'!$B$2:$B$495,MATCH(E293,'Dashboard Items'!$A$2:$A$495,0)),""))="Program",IF(ISNUMBER(SEARCH("ks",G293)),IF(O293="No","Program, also at Key Service: not counted","Counts in Key Service gauge + sets Program chip"),IF(O293="No","Program: shown, no status chip","Sets Program status chip")),IF(IF(D293&lt;&gt;"",D293,IFERROR(INDEX('Dashboard Items'!$B$2:$B$495,MATCH(E293,'Dashboard Items'!$A$2:$A$495,0)),""))="Work System","Work System: shown, not counted","Check Level"))))</f>
        <v/>
      </c>
    </row>
    <row r="294" ht="15" customHeight="1" s="210">
      <c r="B294" s="393" t="n"/>
      <c r="C294" s="393" t="n"/>
      <c r="D294" s="393" t="n"/>
      <c r="E294" s="393" t="n"/>
      <c r="F294" s="394">
        <f>IF(E294="","",IFERROR(IF(INDEX('Dashboard Items'!$B$2:$B$495,MATCH(E294,'Dashboard Items'!$A$2:$A$495,0))="Objective","Objectives go in the next column",IF(OR(D294="",INDEX('Dashboard Items'!$B$2:$B$495,MATCH(E294,'Dashboard Items'!$A$2:$A$495,0))=D294),INDEX('Dashboard Items'!$C$2:$C$495,MATCH(E294,'Dashboard Items'!$A$2:$A$495,0)),"Level does not match ID")),"ID not found"))</f>
        <v/>
      </c>
      <c r="G294" s="395" t="n"/>
      <c r="H294" s="394">
        <f>IF(G294="","",IF(ISNUMBER(SEARCH(",",G294)),"Several items (the script lists them)",IFERROR(INDEX('Dashboard Items'!$B$2:$B$495,MATCH(G294,'Dashboard Items'!$A$2:$A$495,0))&amp;": "&amp;INDEX('Dashboard Items'!$C$2:$C$495,MATCH(G294,'Dashboard Items'!$A$2:$A$495,0)),"ID not found")))</f>
        <v/>
      </c>
      <c r="I294" s="393" t="n"/>
      <c r="J294" s="393" t="n"/>
      <c r="K294" s="393" t="n"/>
      <c r="L294" s="393" t="n"/>
      <c r="M294" s="393" t="n"/>
      <c r="N294" s="393" t="n"/>
      <c r="O294" s="393" t="n"/>
      <c r="P294" s="393" t="n"/>
      <c r="Q294" s="393" t="n"/>
      <c r="R294" s="393" t="n"/>
      <c r="S294" s="393" t="n"/>
      <c r="T294" s="393" t="n"/>
      <c r="U294" s="355">
        <f>IF(B294="","",IF(IF(D294&lt;&gt;"",D294,IFERROR(INDEX('Dashboard Items'!$B$2:$B$495,MATCH(E294,'Dashboard Items'!$A$2:$A$495,0)),""))="Key Service",IF(O294="No","Key Service: shown, not counted","Counts in Key Service gauge"),IF(IF(D294&lt;&gt;"",D294,IFERROR(INDEX('Dashboard Items'!$B$2:$B$495,MATCH(E294,'Dashboard Items'!$A$2:$A$495,0)),""))="Program",IF(ISNUMBER(SEARCH("ks",G294)),IF(O294="No","Program, also at Key Service: not counted","Counts in Key Service gauge + sets Program chip"),IF(O294="No","Program: shown, no status chip","Sets Program status chip")),IF(IF(D294&lt;&gt;"",D294,IFERROR(INDEX('Dashboard Items'!$B$2:$B$495,MATCH(E294,'Dashboard Items'!$A$2:$A$495,0)),""))="Work System","Work System: shown, not counted","Check Level"))))</f>
        <v/>
      </c>
    </row>
    <row r="295" ht="15" customHeight="1" s="210">
      <c r="B295" s="393" t="n"/>
      <c r="C295" s="393" t="n"/>
      <c r="D295" s="393" t="n"/>
      <c r="E295" s="393" t="n"/>
      <c r="F295" s="394">
        <f>IF(E295="","",IFERROR(IF(INDEX('Dashboard Items'!$B$2:$B$495,MATCH(E295,'Dashboard Items'!$A$2:$A$495,0))="Objective","Objectives go in the next column",IF(OR(D295="",INDEX('Dashboard Items'!$B$2:$B$495,MATCH(E295,'Dashboard Items'!$A$2:$A$495,0))=D295),INDEX('Dashboard Items'!$C$2:$C$495,MATCH(E295,'Dashboard Items'!$A$2:$A$495,0)),"Level does not match ID")),"ID not found"))</f>
        <v/>
      </c>
      <c r="G295" s="395" t="n"/>
      <c r="H295" s="394">
        <f>IF(G295="","",IF(ISNUMBER(SEARCH(",",G295)),"Several items (the script lists them)",IFERROR(INDEX('Dashboard Items'!$B$2:$B$495,MATCH(G295,'Dashboard Items'!$A$2:$A$495,0))&amp;": "&amp;INDEX('Dashboard Items'!$C$2:$C$495,MATCH(G295,'Dashboard Items'!$A$2:$A$495,0)),"ID not found")))</f>
        <v/>
      </c>
      <c r="I295" s="393" t="n"/>
      <c r="J295" s="393" t="n"/>
      <c r="K295" s="393" t="n"/>
      <c r="L295" s="393" t="n"/>
      <c r="M295" s="393" t="n"/>
      <c r="N295" s="393" t="n"/>
      <c r="O295" s="393" t="n"/>
      <c r="P295" s="393" t="n"/>
      <c r="Q295" s="393" t="n"/>
      <c r="R295" s="393" t="n"/>
      <c r="S295" s="393" t="n"/>
      <c r="T295" s="393" t="n"/>
      <c r="U295" s="355">
        <f>IF(B295="","",IF(IF(D295&lt;&gt;"",D295,IFERROR(INDEX('Dashboard Items'!$B$2:$B$495,MATCH(E295,'Dashboard Items'!$A$2:$A$495,0)),""))="Key Service",IF(O295="No","Key Service: shown, not counted","Counts in Key Service gauge"),IF(IF(D295&lt;&gt;"",D295,IFERROR(INDEX('Dashboard Items'!$B$2:$B$495,MATCH(E295,'Dashboard Items'!$A$2:$A$495,0)),""))="Program",IF(ISNUMBER(SEARCH("ks",G295)),IF(O295="No","Program, also at Key Service: not counted","Counts in Key Service gauge + sets Program chip"),IF(O295="No","Program: shown, no status chip","Sets Program status chip")),IF(IF(D295&lt;&gt;"",D295,IFERROR(INDEX('Dashboard Items'!$B$2:$B$495,MATCH(E295,'Dashboard Items'!$A$2:$A$495,0)),""))="Work System","Work System: shown, not counted","Check Level"))))</f>
        <v/>
      </c>
    </row>
    <row r="296" ht="15" customHeight="1" s="210">
      <c r="B296" s="393" t="n"/>
      <c r="C296" s="393" t="n"/>
      <c r="D296" s="393" t="n"/>
      <c r="E296" s="393" t="n"/>
      <c r="F296" s="394">
        <f>IF(E296="","",IFERROR(IF(INDEX('Dashboard Items'!$B$2:$B$495,MATCH(E296,'Dashboard Items'!$A$2:$A$495,0))="Objective","Objectives go in the next column",IF(OR(D296="",INDEX('Dashboard Items'!$B$2:$B$495,MATCH(E296,'Dashboard Items'!$A$2:$A$495,0))=D296),INDEX('Dashboard Items'!$C$2:$C$495,MATCH(E296,'Dashboard Items'!$A$2:$A$495,0)),"Level does not match ID")),"ID not found"))</f>
        <v/>
      </c>
      <c r="G296" s="395" t="n"/>
      <c r="H296" s="394">
        <f>IF(G296="","",IF(ISNUMBER(SEARCH(",",G296)),"Several items (the script lists them)",IFERROR(INDEX('Dashboard Items'!$B$2:$B$495,MATCH(G296,'Dashboard Items'!$A$2:$A$495,0))&amp;": "&amp;INDEX('Dashboard Items'!$C$2:$C$495,MATCH(G296,'Dashboard Items'!$A$2:$A$495,0)),"ID not found")))</f>
        <v/>
      </c>
      <c r="I296" s="393" t="n"/>
      <c r="J296" s="393" t="n"/>
      <c r="K296" s="393" t="n"/>
      <c r="L296" s="393" t="n"/>
      <c r="M296" s="393" t="n"/>
      <c r="N296" s="393" t="n"/>
      <c r="O296" s="393" t="n"/>
      <c r="P296" s="393" t="n"/>
      <c r="Q296" s="393" t="n"/>
      <c r="R296" s="393" t="n"/>
      <c r="S296" s="393" t="n"/>
      <c r="T296" s="393" t="n"/>
      <c r="U296" s="355">
        <f>IF(B296="","",IF(IF(D296&lt;&gt;"",D296,IFERROR(INDEX('Dashboard Items'!$B$2:$B$495,MATCH(E296,'Dashboard Items'!$A$2:$A$495,0)),""))="Key Service",IF(O296="No","Key Service: shown, not counted","Counts in Key Service gauge"),IF(IF(D296&lt;&gt;"",D296,IFERROR(INDEX('Dashboard Items'!$B$2:$B$495,MATCH(E296,'Dashboard Items'!$A$2:$A$495,0)),""))="Program",IF(ISNUMBER(SEARCH("ks",G296)),IF(O296="No","Program, also at Key Service: not counted","Counts in Key Service gauge + sets Program chip"),IF(O296="No","Program: shown, no status chip","Sets Program status chip")),IF(IF(D296&lt;&gt;"",D296,IFERROR(INDEX('Dashboard Items'!$B$2:$B$495,MATCH(E296,'Dashboard Items'!$A$2:$A$495,0)),""))="Work System","Work System: shown, not counted","Check Level"))))</f>
        <v/>
      </c>
    </row>
    <row r="297" ht="15" customHeight="1" s="210">
      <c r="B297" s="393" t="n"/>
      <c r="C297" s="393" t="n"/>
      <c r="D297" s="393" t="n"/>
      <c r="E297" s="393" t="n"/>
      <c r="F297" s="394">
        <f>IF(E297="","",IFERROR(IF(INDEX('Dashboard Items'!$B$2:$B$495,MATCH(E297,'Dashboard Items'!$A$2:$A$495,0))="Objective","Objectives go in the next column",IF(OR(D297="",INDEX('Dashboard Items'!$B$2:$B$495,MATCH(E297,'Dashboard Items'!$A$2:$A$495,0))=D297),INDEX('Dashboard Items'!$C$2:$C$495,MATCH(E297,'Dashboard Items'!$A$2:$A$495,0)),"Level does not match ID")),"ID not found"))</f>
        <v/>
      </c>
      <c r="G297" s="395" t="n"/>
      <c r="H297" s="394">
        <f>IF(G297="","",IF(ISNUMBER(SEARCH(",",G297)),"Several items (the script lists them)",IFERROR(INDEX('Dashboard Items'!$B$2:$B$495,MATCH(G297,'Dashboard Items'!$A$2:$A$495,0))&amp;": "&amp;INDEX('Dashboard Items'!$C$2:$C$495,MATCH(G297,'Dashboard Items'!$A$2:$A$495,0)),"ID not found")))</f>
        <v/>
      </c>
      <c r="I297" s="393" t="n"/>
      <c r="J297" s="393" t="n"/>
      <c r="K297" s="393" t="n"/>
      <c r="L297" s="393" t="n"/>
      <c r="M297" s="393" t="n"/>
      <c r="N297" s="393" t="n"/>
      <c r="O297" s="393" t="n"/>
      <c r="P297" s="393" t="n"/>
      <c r="Q297" s="393" t="n"/>
      <c r="R297" s="393" t="n"/>
      <c r="S297" s="393" t="n"/>
      <c r="T297" s="393" t="n"/>
      <c r="U297" s="355">
        <f>IF(B297="","",IF(IF(D297&lt;&gt;"",D297,IFERROR(INDEX('Dashboard Items'!$B$2:$B$495,MATCH(E297,'Dashboard Items'!$A$2:$A$495,0)),""))="Key Service",IF(O297="No","Key Service: shown, not counted","Counts in Key Service gauge"),IF(IF(D297&lt;&gt;"",D297,IFERROR(INDEX('Dashboard Items'!$B$2:$B$495,MATCH(E297,'Dashboard Items'!$A$2:$A$495,0)),""))="Program",IF(ISNUMBER(SEARCH("ks",G297)),IF(O297="No","Program, also at Key Service: not counted","Counts in Key Service gauge + sets Program chip"),IF(O297="No","Program: shown, no status chip","Sets Program status chip")),IF(IF(D297&lt;&gt;"",D297,IFERROR(INDEX('Dashboard Items'!$B$2:$B$495,MATCH(E297,'Dashboard Items'!$A$2:$A$495,0)),""))="Work System","Work System: shown, not counted","Check Level"))))</f>
        <v/>
      </c>
    </row>
    <row r="298" ht="15" customHeight="1" s="210">
      <c r="B298" s="393" t="n"/>
      <c r="C298" s="393" t="n"/>
      <c r="D298" s="393" t="n"/>
      <c r="E298" s="393" t="n"/>
      <c r="F298" s="394">
        <f>IF(E298="","",IFERROR(IF(INDEX('Dashboard Items'!$B$2:$B$495,MATCH(E298,'Dashboard Items'!$A$2:$A$495,0))="Objective","Objectives go in the next column",IF(OR(D298="",INDEX('Dashboard Items'!$B$2:$B$495,MATCH(E298,'Dashboard Items'!$A$2:$A$495,0))=D298),INDEX('Dashboard Items'!$C$2:$C$495,MATCH(E298,'Dashboard Items'!$A$2:$A$495,0)),"Level does not match ID")),"ID not found"))</f>
        <v/>
      </c>
      <c r="G298" s="395" t="n"/>
      <c r="H298" s="394">
        <f>IF(G298="","",IF(ISNUMBER(SEARCH(",",G298)),"Several items (the script lists them)",IFERROR(INDEX('Dashboard Items'!$B$2:$B$495,MATCH(G298,'Dashboard Items'!$A$2:$A$495,0))&amp;": "&amp;INDEX('Dashboard Items'!$C$2:$C$495,MATCH(G298,'Dashboard Items'!$A$2:$A$495,0)),"ID not found")))</f>
        <v/>
      </c>
      <c r="I298" s="393" t="n"/>
      <c r="J298" s="393" t="n"/>
      <c r="K298" s="393" t="n"/>
      <c r="L298" s="393" t="n"/>
      <c r="M298" s="393" t="n"/>
      <c r="N298" s="393" t="n"/>
      <c r="O298" s="393" t="n"/>
      <c r="P298" s="393" t="n"/>
      <c r="Q298" s="393" t="n"/>
      <c r="R298" s="393" t="n"/>
      <c r="S298" s="393" t="n"/>
      <c r="T298" s="393" t="n"/>
      <c r="U298" s="355">
        <f>IF(B298="","",IF(IF(D298&lt;&gt;"",D298,IFERROR(INDEX('Dashboard Items'!$B$2:$B$495,MATCH(E298,'Dashboard Items'!$A$2:$A$495,0)),""))="Key Service",IF(O298="No","Key Service: shown, not counted","Counts in Key Service gauge"),IF(IF(D298&lt;&gt;"",D298,IFERROR(INDEX('Dashboard Items'!$B$2:$B$495,MATCH(E298,'Dashboard Items'!$A$2:$A$495,0)),""))="Program",IF(ISNUMBER(SEARCH("ks",G298)),IF(O298="No","Program, also at Key Service: not counted","Counts in Key Service gauge + sets Program chip"),IF(O298="No","Program: shown, no status chip","Sets Program status chip")),IF(IF(D298&lt;&gt;"",D298,IFERROR(INDEX('Dashboard Items'!$B$2:$B$495,MATCH(E298,'Dashboard Items'!$A$2:$A$495,0)),""))="Work System","Work System: shown, not counted","Check Level"))))</f>
        <v/>
      </c>
    </row>
    <row r="299" ht="15" customHeight="1" s="210">
      <c r="B299" s="393" t="n"/>
      <c r="C299" s="393" t="n"/>
      <c r="D299" s="393" t="n"/>
      <c r="E299" s="393" t="n"/>
      <c r="F299" s="394">
        <f>IF(E299="","",IFERROR(IF(INDEX('Dashboard Items'!$B$2:$B$495,MATCH(E299,'Dashboard Items'!$A$2:$A$495,0))="Objective","Objectives go in the next column",IF(OR(D299="",INDEX('Dashboard Items'!$B$2:$B$495,MATCH(E299,'Dashboard Items'!$A$2:$A$495,0))=D299),INDEX('Dashboard Items'!$C$2:$C$495,MATCH(E299,'Dashboard Items'!$A$2:$A$495,0)),"Level does not match ID")),"ID not found"))</f>
        <v/>
      </c>
      <c r="G299" s="395" t="n"/>
      <c r="H299" s="394">
        <f>IF(G299="","",IF(ISNUMBER(SEARCH(",",G299)),"Several items (the script lists them)",IFERROR(INDEX('Dashboard Items'!$B$2:$B$495,MATCH(G299,'Dashboard Items'!$A$2:$A$495,0))&amp;": "&amp;INDEX('Dashboard Items'!$C$2:$C$495,MATCH(G299,'Dashboard Items'!$A$2:$A$495,0)),"ID not found")))</f>
        <v/>
      </c>
      <c r="I299" s="393" t="n"/>
      <c r="J299" s="393" t="n"/>
      <c r="K299" s="393" t="n"/>
      <c r="L299" s="393" t="n"/>
      <c r="M299" s="393" t="n"/>
      <c r="N299" s="393" t="n"/>
      <c r="O299" s="393" t="n"/>
      <c r="P299" s="393" t="n"/>
      <c r="Q299" s="393" t="n"/>
      <c r="R299" s="393" t="n"/>
      <c r="S299" s="393" t="n"/>
      <c r="T299" s="393" t="n"/>
      <c r="U299" s="355">
        <f>IF(B299="","",IF(IF(D299&lt;&gt;"",D299,IFERROR(INDEX('Dashboard Items'!$B$2:$B$495,MATCH(E299,'Dashboard Items'!$A$2:$A$495,0)),""))="Key Service",IF(O299="No","Key Service: shown, not counted","Counts in Key Service gauge"),IF(IF(D299&lt;&gt;"",D299,IFERROR(INDEX('Dashboard Items'!$B$2:$B$495,MATCH(E299,'Dashboard Items'!$A$2:$A$495,0)),""))="Program",IF(ISNUMBER(SEARCH("ks",G299)),IF(O299="No","Program, also at Key Service: not counted","Counts in Key Service gauge + sets Program chip"),IF(O299="No","Program: shown, no status chip","Sets Program status chip")),IF(IF(D299&lt;&gt;"",D299,IFERROR(INDEX('Dashboard Items'!$B$2:$B$495,MATCH(E299,'Dashboard Items'!$A$2:$A$495,0)),""))="Work System","Work System: shown, not counted","Check Level"))))</f>
        <v/>
      </c>
    </row>
    <row r="300" ht="15" customHeight="1" s="210">
      <c r="B300" s="393" t="n"/>
      <c r="C300" s="393" t="n"/>
      <c r="D300" s="393" t="n"/>
      <c r="E300" s="393" t="n"/>
      <c r="F300" s="394">
        <f>IF(E300="","",IFERROR(IF(INDEX('Dashboard Items'!$B$2:$B$495,MATCH(E300,'Dashboard Items'!$A$2:$A$495,0))="Objective","Objectives go in the next column",IF(OR(D300="",INDEX('Dashboard Items'!$B$2:$B$495,MATCH(E300,'Dashboard Items'!$A$2:$A$495,0))=D300),INDEX('Dashboard Items'!$C$2:$C$495,MATCH(E300,'Dashboard Items'!$A$2:$A$495,0)),"Level does not match ID")),"ID not found"))</f>
        <v/>
      </c>
      <c r="G300" s="395" t="n"/>
      <c r="H300" s="394">
        <f>IF(G300="","",IF(ISNUMBER(SEARCH(",",G300)),"Several items (the script lists them)",IFERROR(INDEX('Dashboard Items'!$B$2:$B$495,MATCH(G300,'Dashboard Items'!$A$2:$A$495,0))&amp;": "&amp;INDEX('Dashboard Items'!$C$2:$C$495,MATCH(G300,'Dashboard Items'!$A$2:$A$495,0)),"ID not found")))</f>
        <v/>
      </c>
      <c r="I300" s="393" t="n"/>
      <c r="J300" s="393" t="n"/>
      <c r="K300" s="393" t="n"/>
      <c r="L300" s="393" t="n"/>
      <c r="M300" s="393" t="n"/>
      <c r="N300" s="393" t="n"/>
      <c r="O300" s="393" t="n"/>
      <c r="P300" s="393" t="n"/>
      <c r="Q300" s="393" t="n"/>
      <c r="R300" s="393" t="n"/>
      <c r="S300" s="393" t="n"/>
      <c r="T300" s="393" t="n"/>
      <c r="U300" s="355">
        <f>IF(B300="","",IF(IF(D300&lt;&gt;"",D300,IFERROR(INDEX('Dashboard Items'!$B$2:$B$495,MATCH(E300,'Dashboard Items'!$A$2:$A$495,0)),""))="Key Service",IF(O300="No","Key Service: shown, not counted","Counts in Key Service gauge"),IF(IF(D300&lt;&gt;"",D300,IFERROR(INDEX('Dashboard Items'!$B$2:$B$495,MATCH(E300,'Dashboard Items'!$A$2:$A$495,0)),""))="Program",IF(ISNUMBER(SEARCH("ks",G300)),IF(O300="No","Program, also at Key Service: not counted","Counts in Key Service gauge + sets Program chip"),IF(O300="No","Program: shown, no status chip","Sets Program status chip")),IF(IF(D300&lt;&gt;"",D300,IFERROR(INDEX('Dashboard Items'!$B$2:$B$495,MATCH(E300,'Dashboard Items'!$A$2:$A$495,0)),""))="Work System","Work System: shown, not counted","Check Level"))))</f>
        <v/>
      </c>
    </row>
    <row r="301" ht="15" customHeight="1" s="210">
      <c r="B301" s="393" t="n"/>
      <c r="C301" s="393" t="n"/>
      <c r="D301" s="393" t="n"/>
      <c r="E301" s="393" t="n"/>
      <c r="F301" s="394">
        <f>IF(E301="","",IFERROR(IF(INDEX('Dashboard Items'!$B$2:$B$495,MATCH(E301,'Dashboard Items'!$A$2:$A$495,0))="Objective","Objectives go in the next column",IF(OR(D301="",INDEX('Dashboard Items'!$B$2:$B$495,MATCH(E301,'Dashboard Items'!$A$2:$A$495,0))=D301),INDEX('Dashboard Items'!$C$2:$C$495,MATCH(E301,'Dashboard Items'!$A$2:$A$495,0)),"Level does not match ID")),"ID not found"))</f>
        <v/>
      </c>
      <c r="G301" s="395" t="n"/>
      <c r="H301" s="394">
        <f>IF(G301="","",IF(ISNUMBER(SEARCH(",",G301)),"Several items (the script lists them)",IFERROR(INDEX('Dashboard Items'!$B$2:$B$495,MATCH(G301,'Dashboard Items'!$A$2:$A$495,0))&amp;": "&amp;INDEX('Dashboard Items'!$C$2:$C$495,MATCH(G301,'Dashboard Items'!$A$2:$A$495,0)),"ID not found")))</f>
        <v/>
      </c>
      <c r="I301" s="393" t="n"/>
      <c r="J301" s="393" t="n"/>
      <c r="K301" s="393" t="n"/>
      <c r="L301" s="393" t="n"/>
      <c r="M301" s="393" t="n"/>
      <c r="N301" s="393" t="n"/>
      <c r="O301" s="393" t="n"/>
      <c r="P301" s="393" t="n"/>
      <c r="Q301" s="393" t="n"/>
      <c r="R301" s="393" t="n"/>
      <c r="S301" s="393" t="n"/>
      <c r="T301" s="393" t="n"/>
      <c r="U301" s="355">
        <f>IF(B301="","",IF(IF(D301&lt;&gt;"",D301,IFERROR(INDEX('Dashboard Items'!$B$2:$B$495,MATCH(E301,'Dashboard Items'!$A$2:$A$495,0)),""))="Key Service",IF(O301="No","Key Service: shown, not counted","Counts in Key Service gauge"),IF(IF(D301&lt;&gt;"",D301,IFERROR(INDEX('Dashboard Items'!$B$2:$B$495,MATCH(E301,'Dashboard Items'!$A$2:$A$495,0)),""))="Program",IF(ISNUMBER(SEARCH("ks",G301)),IF(O301="No","Program, also at Key Service: not counted","Counts in Key Service gauge + sets Program chip"),IF(O301="No","Program: shown, no status chip","Sets Program status chip")),IF(IF(D301&lt;&gt;"",D301,IFERROR(INDEX('Dashboard Items'!$B$2:$B$495,MATCH(E301,'Dashboard Items'!$A$2:$A$495,0)),""))="Work System","Work System: shown, not counted","Check Level"))))</f>
        <v/>
      </c>
    </row>
    <row r="302" ht="15" customHeight="1" s="210">
      <c r="B302" s="393" t="n"/>
      <c r="C302" s="393" t="n"/>
      <c r="D302" s="393" t="n"/>
      <c r="E302" s="393" t="n"/>
      <c r="F302" s="394">
        <f>IF(E302="","",IFERROR(IF(INDEX('Dashboard Items'!$B$2:$B$495,MATCH(E302,'Dashboard Items'!$A$2:$A$495,0))="Objective","Objectives go in the next column",IF(OR(D302="",INDEX('Dashboard Items'!$B$2:$B$495,MATCH(E302,'Dashboard Items'!$A$2:$A$495,0))=D302),INDEX('Dashboard Items'!$C$2:$C$495,MATCH(E302,'Dashboard Items'!$A$2:$A$495,0)),"Level does not match ID")),"ID not found"))</f>
        <v/>
      </c>
      <c r="G302" s="395" t="n"/>
      <c r="H302" s="394">
        <f>IF(G302="","",IF(ISNUMBER(SEARCH(",",G302)),"Several items (the script lists them)",IFERROR(INDEX('Dashboard Items'!$B$2:$B$495,MATCH(G302,'Dashboard Items'!$A$2:$A$495,0))&amp;": "&amp;INDEX('Dashboard Items'!$C$2:$C$495,MATCH(G302,'Dashboard Items'!$A$2:$A$495,0)),"ID not found")))</f>
        <v/>
      </c>
      <c r="I302" s="393" t="n"/>
      <c r="J302" s="393" t="n"/>
      <c r="K302" s="393" t="n"/>
      <c r="L302" s="393" t="n"/>
      <c r="M302" s="393" t="n"/>
      <c r="N302" s="393" t="n"/>
      <c r="O302" s="393" t="n"/>
      <c r="P302" s="393" t="n"/>
      <c r="Q302" s="393" t="n"/>
      <c r="R302" s="393" t="n"/>
      <c r="S302" s="393" t="n"/>
      <c r="T302" s="393" t="n"/>
      <c r="U302" s="355">
        <f>IF(B302="","",IF(IF(D302&lt;&gt;"",D302,IFERROR(INDEX('Dashboard Items'!$B$2:$B$495,MATCH(E302,'Dashboard Items'!$A$2:$A$495,0)),""))="Key Service",IF(O302="No","Key Service: shown, not counted","Counts in Key Service gauge"),IF(IF(D302&lt;&gt;"",D302,IFERROR(INDEX('Dashboard Items'!$B$2:$B$495,MATCH(E302,'Dashboard Items'!$A$2:$A$495,0)),""))="Program",IF(ISNUMBER(SEARCH("ks",G302)),IF(O302="No","Program, also at Key Service: not counted","Counts in Key Service gauge + sets Program chip"),IF(O302="No","Program: shown, no status chip","Sets Program status chip")),IF(IF(D302&lt;&gt;"",D302,IFERROR(INDEX('Dashboard Items'!$B$2:$B$495,MATCH(E302,'Dashboard Items'!$A$2:$A$495,0)),""))="Work System","Work System: shown, not counted","Check Level"))))</f>
        <v/>
      </c>
    </row>
    <row r="303" ht="15" customHeight="1" s="210">
      <c r="B303" s="393" t="n"/>
      <c r="C303" s="393" t="n"/>
      <c r="D303" s="393" t="n"/>
      <c r="E303" s="393" t="n"/>
      <c r="F303" s="394">
        <f>IF(E303="","",IFERROR(IF(INDEX('Dashboard Items'!$B$2:$B$495,MATCH(E303,'Dashboard Items'!$A$2:$A$495,0))="Objective","Objectives go in the next column",IF(OR(D303="",INDEX('Dashboard Items'!$B$2:$B$495,MATCH(E303,'Dashboard Items'!$A$2:$A$495,0))=D303),INDEX('Dashboard Items'!$C$2:$C$495,MATCH(E303,'Dashboard Items'!$A$2:$A$495,0)),"Level does not match ID")),"ID not found"))</f>
        <v/>
      </c>
      <c r="G303" s="395" t="n"/>
      <c r="H303" s="394">
        <f>IF(G303="","",IF(ISNUMBER(SEARCH(",",G303)),"Several items (the script lists them)",IFERROR(INDEX('Dashboard Items'!$B$2:$B$495,MATCH(G303,'Dashboard Items'!$A$2:$A$495,0))&amp;": "&amp;INDEX('Dashboard Items'!$C$2:$C$495,MATCH(G303,'Dashboard Items'!$A$2:$A$495,0)),"ID not found")))</f>
        <v/>
      </c>
      <c r="I303" s="393" t="n"/>
      <c r="J303" s="393" t="n"/>
      <c r="K303" s="393" t="n"/>
      <c r="L303" s="393" t="n"/>
      <c r="M303" s="393" t="n"/>
      <c r="N303" s="393" t="n"/>
      <c r="O303" s="393" t="n"/>
      <c r="P303" s="393" t="n"/>
      <c r="Q303" s="393" t="n"/>
      <c r="R303" s="393" t="n"/>
      <c r="S303" s="393" t="n"/>
      <c r="T303" s="393" t="n"/>
      <c r="U303" s="355">
        <f>IF(B303="","",IF(IF(D303&lt;&gt;"",D303,IFERROR(INDEX('Dashboard Items'!$B$2:$B$495,MATCH(E303,'Dashboard Items'!$A$2:$A$495,0)),""))="Key Service",IF(O303="No","Key Service: shown, not counted","Counts in Key Service gauge"),IF(IF(D303&lt;&gt;"",D303,IFERROR(INDEX('Dashboard Items'!$B$2:$B$495,MATCH(E303,'Dashboard Items'!$A$2:$A$495,0)),""))="Program",IF(ISNUMBER(SEARCH("ks",G303)),IF(O303="No","Program, also at Key Service: not counted","Counts in Key Service gauge + sets Program chip"),IF(O303="No","Program: shown, no status chip","Sets Program status chip")),IF(IF(D303&lt;&gt;"",D303,IFERROR(INDEX('Dashboard Items'!$B$2:$B$495,MATCH(E303,'Dashboard Items'!$A$2:$A$495,0)),""))="Work System","Work System: shown, not counted","Check Level"))))</f>
        <v/>
      </c>
    </row>
    <row r="304" ht="15" customHeight="1" s="210">
      <c r="B304" s="393" t="n"/>
      <c r="C304" s="393" t="n"/>
      <c r="D304" s="393" t="n"/>
      <c r="E304" s="393" t="n"/>
      <c r="F304" s="394">
        <f>IF(E304="","",IFERROR(IF(INDEX('Dashboard Items'!$B$2:$B$495,MATCH(E304,'Dashboard Items'!$A$2:$A$495,0))="Objective","Objectives go in the next column",IF(OR(D304="",INDEX('Dashboard Items'!$B$2:$B$495,MATCH(E304,'Dashboard Items'!$A$2:$A$495,0))=D304),INDEX('Dashboard Items'!$C$2:$C$495,MATCH(E304,'Dashboard Items'!$A$2:$A$495,0)),"Level does not match ID")),"ID not found"))</f>
        <v/>
      </c>
      <c r="G304" s="395" t="n"/>
      <c r="H304" s="394">
        <f>IF(G304="","",IF(ISNUMBER(SEARCH(",",G304)),"Several items (the script lists them)",IFERROR(INDEX('Dashboard Items'!$B$2:$B$495,MATCH(G304,'Dashboard Items'!$A$2:$A$495,0))&amp;": "&amp;INDEX('Dashboard Items'!$C$2:$C$495,MATCH(G304,'Dashboard Items'!$A$2:$A$495,0)),"ID not found")))</f>
        <v/>
      </c>
      <c r="I304" s="393" t="n"/>
      <c r="J304" s="393" t="n"/>
      <c r="K304" s="393" t="n"/>
      <c r="L304" s="393" t="n"/>
      <c r="M304" s="393" t="n"/>
      <c r="N304" s="393" t="n"/>
      <c r="O304" s="393" t="n"/>
      <c r="P304" s="393" t="n"/>
      <c r="Q304" s="393" t="n"/>
      <c r="R304" s="393" t="n"/>
      <c r="S304" s="393" t="n"/>
      <c r="T304" s="393" t="n"/>
      <c r="U304" s="355">
        <f>IF(B304="","",IF(IF(D304&lt;&gt;"",D304,IFERROR(INDEX('Dashboard Items'!$B$2:$B$495,MATCH(E304,'Dashboard Items'!$A$2:$A$495,0)),""))="Key Service",IF(O304="No","Key Service: shown, not counted","Counts in Key Service gauge"),IF(IF(D304&lt;&gt;"",D304,IFERROR(INDEX('Dashboard Items'!$B$2:$B$495,MATCH(E304,'Dashboard Items'!$A$2:$A$495,0)),""))="Program",IF(ISNUMBER(SEARCH("ks",G304)),IF(O304="No","Program, also at Key Service: not counted","Counts in Key Service gauge + sets Program chip"),IF(O304="No","Program: shown, no status chip","Sets Program status chip")),IF(IF(D304&lt;&gt;"",D304,IFERROR(INDEX('Dashboard Items'!$B$2:$B$495,MATCH(E304,'Dashboard Items'!$A$2:$A$495,0)),""))="Work System","Work System: shown, not counted","Check Level"))))</f>
        <v/>
      </c>
    </row>
    <row r="305" ht="15" customHeight="1" s="210">
      <c r="B305" s="393" t="n"/>
      <c r="C305" s="393" t="n"/>
      <c r="D305" s="393" t="n"/>
      <c r="E305" s="393" t="n"/>
      <c r="F305" s="394">
        <f>IF(E305="","",IFERROR(IF(INDEX('Dashboard Items'!$B$2:$B$495,MATCH(E305,'Dashboard Items'!$A$2:$A$495,0))="Objective","Objectives go in the next column",IF(OR(D305="",INDEX('Dashboard Items'!$B$2:$B$495,MATCH(E305,'Dashboard Items'!$A$2:$A$495,0))=D305),INDEX('Dashboard Items'!$C$2:$C$495,MATCH(E305,'Dashboard Items'!$A$2:$A$495,0)),"Level does not match ID")),"ID not found"))</f>
        <v/>
      </c>
      <c r="G305" s="395" t="n"/>
      <c r="H305" s="394">
        <f>IF(G305="","",IF(ISNUMBER(SEARCH(",",G305)),"Several items (the script lists them)",IFERROR(INDEX('Dashboard Items'!$B$2:$B$495,MATCH(G305,'Dashboard Items'!$A$2:$A$495,0))&amp;": "&amp;INDEX('Dashboard Items'!$C$2:$C$495,MATCH(G305,'Dashboard Items'!$A$2:$A$495,0)),"ID not found")))</f>
        <v/>
      </c>
      <c r="I305" s="393" t="n"/>
      <c r="J305" s="393" t="n"/>
      <c r="K305" s="393" t="n"/>
      <c r="L305" s="393" t="n"/>
      <c r="M305" s="393" t="n"/>
      <c r="N305" s="393" t="n"/>
      <c r="O305" s="393" t="n"/>
      <c r="P305" s="393" t="n"/>
      <c r="Q305" s="393" t="n"/>
      <c r="R305" s="393" t="n"/>
      <c r="S305" s="393" t="n"/>
      <c r="T305" s="393" t="n"/>
      <c r="U305" s="355">
        <f>IF(B305="","",IF(IF(D305&lt;&gt;"",D305,IFERROR(INDEX('Dashboard Items'!$B$2:$B$495,MATCH(E305,'Dashboard Items'!$A$2:$A$495,0)),""))="Key Service",IF(O305="No","Key Service: shown, not counted","Counts in Key Service gauge"),IF(IF(D305&lt;&gt;"",D305,IFERROR(INDEX('Dashboard Items'!$B$2:$B$495,MATCH(E305,'Dashboard Items'!$A$2:$A$495,0)),""))="Program",IF(ISNUMBER(SEARCH("ks",G305)),IF(O305="No","Program, also at Key Service: not counted","Counts in Key Service gauge + sets Program chip"),IF(O305="No","Program: shown, no status chip","Sets Program status chip")),IF(IF(D305&lt;&gt;"",D305,IFERROR(INDEX('Dashboard Items'!$B$2:$B$495,MATCH(E305,'Dashboard Items'!$A$2:$A$495,0)),""))="Work System","Work System: shown, not counted","Check Level"))))</f>
        <v/>
      </c>
    </row>
  </sheetData>
  <autoFilter ref="A1:U1"/>
  <dataValidations count="3">
    <dataValidation sqref="D2:D30 D31:D305 E29" showDropDown="0" showInputMessage="0" showErrorMessage="0" allowBlank="1" errorTitle="Level" error="Choose Work System, Key Service or Program." type="list" errorStyle="stop" operator="between">
      <formula1>"Work System,Key Service,Program"</formula1>
      <formula2>0</formula2>
    </dataValidation>
    <dataValidation sqref="K2:K305 O2:O305" showDropDown="0" showInputMessage="0" showErrorMessage="0" allowBlank="1" type="list" errorStyle="stop" operator="between">
      <formula1>"Yes,No"</formula1>
      <formula2>0</formula2>
    </dataValidation>
    <dataValidation sqref="L2:L305" showDropDown="0" showInputMessage="0" showErrorMessage="0" allowBlank="1" errorTitle="Status Based On" error="Choose Target or Benchmark." type="list" errorStyle="stop" operator="between">
      <formula1>"Target,Benchmark"</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H1002"/>
  <sheetViews>
    <sheetView showFormulas="0" showGridLines="1" showRowColHeaders="1" showZeros="1" rightToLeft="0" tabSelected="0" showOutlineSymbols="1" defaultGridColor="1" view="normal" topLeftCell="A1" colorId="64" zoomScale="90" zoomScaleNormal="90" zoomScalePageLayoutView="100" workbookViewId="0">
      <pane xSplit="0" ySplit="1" topLeftCell="A121" activePane="bottomLeft" state="frozen"/>
      <selection pane="topLeft" activeCell="A1" activeCellId="0" sqref="A1"/>
      <selection pane="bottomLeft" activeCell="C95" activeCellId="0" sqref="C95"/>
    </sheetView>
  </sheetViews>
  <sheetFormatPr baseColWidth="8" defaultColWidth="8.66796875" defaultRowHeight="15" zeroHeight="0" outlineLevelRow="0"/>
  <cols>
    <col width="8.34" customWidth="1" style="209" min="1" max="1"/>
    <col width="22.16" customWidth="1" style="209" min="2" max="2"/>
    <col width="9.16" customWidth="1" style="208" min="3" max="3"/>
    <col width="24" customWidth="1" style="208" min="4" max="4"/>
    <col width="11.67" customWidth="1" style="208" min="5" max="5"/>
    <col width="9" customWidth="1" style="208" min="6" max="6"/>
    <col width="13" customWidth="1" style="208" min="7" max="7"/>
    <col width="20.33" customWidth="1" style="209" min="8" max="8"/>
  </cols>
  <sheetData>
    <row r="1" ht="15" customHeight="1" s="210">
      <c r="A1" s="349" t="inlineStr">
        <is>
          <t>Dept</t>
        </is>
      </c>
      <c r="B1" s="396" t="inlineStr">
        <is>
          <t>KPI ID</t>
        </is>
      </c>
      <c r="C1" s="349" t="inlineStr">
        <is>
          <t>Period</t>
        </is>
      </c>
      <c r="D1" s="349" t="inlineStr">
        <is>
          <t>Segment</t>
        </is>
      </c>
      <c r="E1" s="349" t="inlineStr">
        <is>
          <t>Value</t>
        </is>
      </c>
      <c r="F1" s="349" t="inlineStr">
        <is>
          <t>Target</t>
        </is>
      </c>
      <c r="G1" s="349" t="inlineStr">
        <is>
          <t>Benchmark</t>
        </is>
      </c>
      <c r="H1" s="349" t="inlineStr">
        <is>
          <t>Note</t>
        </is>
      </c>
    </row>
    <row r="2" ht="13.5" customFormat="1" customHeight="1" s="397">
      <c r="A2" s="397">
        <f>LEFT(B2, FIND("-", B2) - 1)</f>
        <v/>
      </c>
      <c r="B2" s="397" t="inlineStr">
        <is>
          <t>CLERK-CLICKTHRURATE</t>
        </is>
      </c>
      <c r="C2" s="398" t="inlineStr">
        <is>
          <t>X</t>
        </is>
      </c>
      <c r="D2" s="398" t="n"/>
      <c r="E2" s="398" t="n"/>
      <c r="F2" s="398" t="n"/>
      <c r="G2" s="398" t="n"/>
    </row>
    <row r="3" ht="13.5" customFormat="1" customHeight="1" s="397">
      <c r="A3" s="397">
        <f>LEFT(B3, FIND("-", B3) - 1)</f>
        <v/>
      </c>
      <c r="B3" s="397" t="inlineStr">
        <is>
          <t>CLERK-QRESPRATE</t>
        </is>
      </c>
      <c r="C3" s="398" t="inlineStr">
        <is>
          <t>X</t>
        </is>
      </c>
      <c r="D3" s="398" t="n"/>
      <c r="E3" s="398" t="n"/>
      <c r="F3" s="398" t="n"/>
      <c r="G3" s="398" t="n"/>
    </row>
    <row r="4" ht="13.5" customFormat="1" customHeight="1" s="397">
      <c r="A4" s="397">
        <f>LEFT(B4, FIND("-", B4) - 1)</f>
        <v/>
      </c>
      <c r="B4" s="397" t="inlineStr">
        <is>
          <t>CLERK-VOTERTURNOUT</t>
        </is>
      </c>
      <c r="C4" s="398" t="inlineStr">
        <is>
          <t>X</t>
        </is>
      </c>
      <c r="D4" s="398" t="n"/>
      <c r="E4" s="398" t="n"/>
      <c r="F4" s="398" t="n"/>
      <c r="G4" s="398" t="n"/>
    </row>
    <row r="5" ht="13.5" customFormat="1" customHeight="1" s="397">
      <c r="A5" s="397">
        <f>LEFT(B5, FIND("-", B5) - 1)</f>
        <v/>
      </c>
      <c r="B5" s="397" t="inlineStr">
        <is>
          <t>CLERK-LOGICTEST</t>
        </is>
      </c>
      <c r="C5" s="398" t="inlineStr">
        <is>
          <t>X</t>
        </is>
      </c>
      <c r="D5" s="398" t="n"/>
      <c r="E5" s="398" t="n"/>
      <c r="F5" s="398" t="n"/>
      <c r="G5" s="398" t="n"/>
    </row>
    <row r="6" ht="13.5" customFormat="1" customHeight="1" s="397">
      <c r="A6" s="397">
        <f>LEFT(B6, FIND("-", B6) - 1)</f>
        <v/>
      </c>
      <c r="B6" s="397" t="inlineStr">
        <is>
          <t>CLERK-CORARESPRATE</t>
        </is>
      </c>
      <c r="C6" s="398" t="inlineStr">
        <is>
          <t>2024-Q4</t>
        </is>
      </c>
      <c r="D6" s="398" t="n"/>
      <c r="E6" s="398" t="n">
        <v>88</v>
      </c>
      <c r="F6" s="398" t="n">
        <v>90</v>
      </c>
      <c r="G6" s="398" t="n"/>
      <c r="H6" s="398" t="n"/>
    </row>
    <row r="7" ht="13.5" customFormat="1" customHeight="1" s="397">
      <c r="A7" s="397">
        <f>LEFT(B7, FIND("-", B7) - 1)</f>
        <v/>
      </c>
      <c r="B7" s="397" t="inlineStr">
        <is>
          <t>CLERK-AGENDAPOST</t>
        </is>
      </c>
      <c r="C7" s="398" t="inlineStr">
        <is>
          <t>2024-Q4</t>
        </is>
      </c>
      <c r="D7" s="398" t="n"/>
      <c r="E7" s="398" t="n">
        <v>95</v>
      </c>
      <c r="F7" s="398" t="n">
        <v>90</v>
      </c>
      <c r="G7" s="398" t="n"/>
      <c r="H7" s="398" t="n"/>
    </row>
    <row r="8" ht="13.5" customFormat="1" customHeight="1" s="397">
      <c r="A8" s="397">
        <f>LEFT(B8, FIND("-", B8) - 1)</f>
        <v/>
      </c>
      <c r="B8" s="397" t="inlineStr">
        <is>
          <t>CLERK-LIQMARJLIC</t>
        </is>
      </c>
      <c r="C8" s="398" t="inlineStr">
        <is>
          <t>X</t>
        </is>
      </c>
      <c r="D8" s="398" t="n"/>
      <c r="E8" s="398" t="n"/>
      <c r="F8" s="398" t="n"/>
      <c r="G8" s="398" t="n"/>
    </row>
    <row r="9" ht="13.5" customFormat="1" customHeight="1" s="397">
      <c r="A9" s="397">
        <f>LEFT(B9, FIND("-", B9) - 1)</f>
        <v/>
      </c>
      <c r="B9" s="397" t="inlineStr">
        <is>
          <t>CLERK-BIZLIC</t>
        </is>
      </c>
      <c r="C9" s="398" t="inlineStr">
        <is>
          <t>X</t>
        </is>
      </c>
      <c r="D9" s="398" t="n"/>
      <c r="E9" s="398" t="n"/>
      <c r="F9" s="398" t="n"/>
      <c r="G9" s="398" t="n"/>
    </row>
    <row r="10" ht="13.5" customFormat="1" customHeight="1" s="364">
      <c r="A10" s="364">
        <f>LEFT(B10, FIND("-", B10) - 1)</f>
        <v/>
      </c>
      <c r="B10" s="364" t="inlineStr">
        <is>
          <t>HR-EMPENG</t>
        </is>
      </c>
      <c r="C10" s="399" t="inlineStr">
        <is>
          <t>2022</t>
        </is>
      </c>
      <c r="D10" s="399" t="n"/>
      <c r="E10" s="399" t="n">
        <v>69</v>
      </c>
      <c r="F10" s="399" t="n"/>
      <c r="G10" s="399" t="n">
        <v>76.59999999999999</v>
      </c>
      <c r="H10" s="364" t="inlineStr">
        <is>
          <t>Full-time employees only</t>
        </is>
      </c>
    </row>
    <row r="11" ht="13.5" customFormat="1" customHeight="1" s="364">
      <c r="A11" s="364">
        <f>LEFT(B11, FIND("-", B11) - 1)</f>
        <v/>
      </c>
      <c r="B11" s="364" t="inlineStr">
        <is>
          <t>HR-EMPENG</t>
        </is>
      </c>
      <c r="C11" s="399" t="inlineStr">
        <is>
          <t>2024</t>
        </is>
      </c>
      <c r="D11" s="399" t="n"/>
      <c r="E11" s="399" t="n">
        <v>81.3</v>
      </c>
      <c r="F11" s="399" t="n"/>
      <c r="G11" s="399" t="n">
        <v>75.09999999999999</v>
      </c>
      <c r="H11" s="364" t="inlineStr">
        <is>
          <t>Full-time employees only</t>
        </is>
      </c>
    </row>
    <row r="12" ht="13.5" customFormat="1" customHeight="1" s="364">
      <c r="A12" s="364">
        <f>LEFT(B12, FIND("-", B12) - 1)</f>
        <v/>
      </c>
      <c r="B12" s="364" t="inlineStr">
        <is>
          <t>HR-EMPENG</t>
        </is>
      </c>
      <c r="C12" s="399" t="inlineStr">
        <is>
          <t>2026</t>
        </is>
      </c>
      <c r="D12" s="399" t="n"/>
      <c r="E12" s="399" t="n">
        <v>79.3</v>
      </c>
      <c r="F12" s="399" t="n"/>
      <c r="G12" s="399" t="n">
        <v>76.59999999999999</v>
      </c>
    </row>
    <row r="13" ht="13.5" customFormat="1" customHeight="1" s="364">
      <c r="A13" s="364">
        <f>LEFT(B13, FIND("-", B13) - 1)</f>
        <v/>
      </c>
      <c r="B13" s="364" t="inlineStr">
        <is>
          <t>HR-EMPENG</t>
        </is>
      </c>
      <c r="C13" s="399" t="inlineStr">
        <is>
          <t>2026</t>
        </is>
      </c>
      <c r="D13" s="399" t="inlineStr">
        <is>
          <t>Full-time</t>
        </is>
      </c>
      <c r="E13" s="399" t="n">
        <v>79.90000000000001</v>
      </c>
      <c r="F13" s="399" t="n"/>
      <c r="G13" s="399" t="n"/>
    </row>
    <row r="14" ht="13.5" customFormat="1" customHeight="1" s="364">
      <c r="A14" s="364">
        <f>LEFT(B14, FIND("-", B14) - 1)</f>
        <v/>
      </c>
      <c r="B14" s="364" t="inlineStr">
        <is>
          <t>HR-EMPENG</t>
        </is>
      </c>
      <c r="C14" s="399" t="inlineStr">
        <is>
          <t>2026</t>
        </is>
      </c>
      <c r="D14" s="399" t="inlineStr">
        <is>
          <t>PT/Seasonal</t>
        </is>
      </c>
      <c r="E14" s="399" t="n">
        <v>78.2</v>
      </c>
      <c r="F14" s="399" t="n"/>
      <c r="G14" s="399" t="n"/>
    </row>
    <row r="15" ht="13.5" customFormat="1" customHeight="1" s="364">
      <c r="A15" s="364">
        <f>LEFT(B15, FIND("-", B15) - 1)</f>
        <v/>
      </c>
      <c r="B15" s="364" t="inlineStr">
        <is>
          <t>HR-EMPENG</t>
        </is>
      </c>
      <c r="C15" s="399" t="n"/>
      <c r="D15" s="399" t="n"/>
      <c r="E15" s="399" t="n"/>
      <c r="F15" s="399" t="n"/>
      <c r="G15" s="399" t="n"/>
    </row>
    <row r="16" ht="13.5" customFormat="1" customHeight="1" s="364">
      <c r="A16" s="364">
        <f>LEFT(B16, FIND("-", B16) - 1)</f>
        <v/>
      </c>
      <c r="B16" s="364" t="inlineStr">
        <is>
          <t>HR-TIMETOHIRE</t>
        </is>
      </c>
      <c r="C16" s="399" t="n"/>
      <c r="D16" s="399" t="n"/>
      <c r="E16" s="399" t="n"/>
      <c r="F16" s="399" t="n"/>
      <c r="G16" s="399" t="n"/>
    </row>
    <row r="17" ht="13.5" customFormat="1" customHeight="1" s="364">
      <c r="A17" s="364">
        <f>LEFT(B17, FIND("-", B17) - 1)</f>
        <v/>
      </c>
      <c r="B17" s="364" t="inlineStr">
        <is>
          <t>HR-TURNRATE</t>
        </is>
      </c>
      <c r="C17" s="399" t="inlineStr">
        <is>
          <t>2021</t>
        </is>
      </c>
      <c r="D17" s="399" t="n"/>
      <c r="E17" s="399" t="n">
        <v>20.34</v>
      </c>
      <c r="F17" s="399" t="n">
        <v>20</v>
      </c>
      <c r="G17" s="399" t="n">
        <v>18</v>
      </c>
      <c r="H17" s="399" t="n"/>
    </row>
    <row r="18" ht="13.5" customFormat="1" customHeight="1" s="364">
      <c r="A18" s="364">
        <f>LEFT(B18, FIND("-", B18) - 1)</f>
        <v/>
      </c>
      <c r="B18" s="364" t="inlineStr">
        <is>
          <t>HR-CFT</t>
        </is>
      </c>
      <c r="C18" s="399" t="n"/>
      <c r="D18" s="399" t="n"/>
      <c r="E18" s="399" t="n"/>
      <c r="F18" s="399" t="n"/>
      <c r="G18" s="399" t="n"/>
    </row>
    <row r="19" ht="13.5" customFormat="1" customHeight="1" s="364">
      <c r="A19" s="364">
        <f>LEFT(B19, FIND("-", B19) - 1)</f>
        <v/>
      </c>
      <c r="B19" s="364" t="inlineStr">
        <is>
          <t>HR-TUITIONREIMB</t>
        </is>
      </c>
      <c r="C19" s="399" t="n"/>
      <c r="D19" s="399" t="n"/>
      <c r="E19" s="399" t="n"/>
      <c r="F19" s="399" t="n"/>
      <c r="G19" s="399" t="n"/>
    </row>
    <row r="20" ht="13.5" customFormat="1" customHeight="1" s="364">
      <c r="A20" s="364">
        <f>LEFT(B20, FIND("-", B20) - 1)</f>
        <v/>
      </c>
      <c r="B20" s="364" t="inlineStr">
        <is>
          <t>HR-PROFDEV</t>
        </is>
      </c>
      <c r="C20" s="399" t="n"/>
      <c r="D20" s="399" t="n"/>
      <c r="E20" s="399" t="n"/>
      <c r="F20" s="399" t="n"/>
      <c r="G20" s="399" t="n"/>
    </row>
    <row r="21" ht="13.5" customFormat="1" customHeight="1" s="364">
      <c r="A21" s="364">
        <f>LEFT(B21, FIND("-", B21) - 1)</f>
        <v/>
      </c>
      <c r="B21" s="364" t="inlineStr">
        <is>
          <t>HR-JOBPOSTVIEW</t>
        </is>
      </c>
      <c r="C21" s="399" t="n"/>
      <c r="D21" s="399" t="n"/>
      <c r="E21" s="399" t="n"/>
      <c r="F21" s="399" t="n"/>
      <c r="G21" s="399" t="n"/>
    </row>
    <row r="22" ht="13.5" customFormat="1" customHeight="1" s="364">
      <c r="A22" s="364">
        <f>LEFT(B22, FIND("-", B22) - 1)</f>
        <v/>
      </c>
      <c r="B22" s="364" t="inlineStr">
        <is>
          <t>HR-APPPERREC</t>
        </is>
      </c>
      <c r="C22" s="399" t="n"/>
      <c r="D22" s="399" t="n"/>
      <c r="E22" s="399" t="n"/>
      <c r="F22" s="399" t="n"/>
      <c r="G22" s="399" t="n"/>
    </row>
    <row r="23" ht="13.5" customFormat="1" customHeight="1" s="364">
      <c r="A23" s="364">
        <f>LEFT(B23, FIND("-", B23) - 1)</f>
        <v/>
      </c>
      <c r="B23" s="364" t="inlineStr">
        <is>
          <t>HR-TRAFFICSOURCE</t>
        </is>
      </c>
      <c r="C23" s="399" t="n"/>
      <c r="D23" s="399" t="n"/>
      <c r="E23" s="399" t="n"/>
      <c r="F23" s="399" t="n"/>
      <c r="G23" s="399" t="n"/>
    </row>
    <row r="24" ht="13.5" customFormat="1" customHeight="1" s="364">
      <c r="A24" s="364">
        <f>LEFT(B24, FIND("-", B24) - 1)</f>
        <v/>
      </c>
      <c r="B24" s="364" t="inlineStr">
        <is>
          <t>HR-OFFICERACC</t>
        </is>
      </c>
      <c r="C24" s="399" t="n"/>
      <c r="D24" s="399" t="n"/>
      <c r="E24" s="399" t="n"/>
      <c r="F24" s="399" t="n"/>
      <c r="G24" s="399" t="n"/>
    </row>
    <row r="25" ht="13.5" customFormat="1" customHeight="1" s="364">
      <c r="A25" s="364">
        <f>LEFT(B25, FIND("-", B25) - 1)</f>
        <v/>
      </c>
      <c r="B25" s="364" t="inlineStr">
        <is>
          <t>HR-VACRATE</t>
        </is>
      </c>
      <c r="C25" s="399" t="n"/>
      <c r="D25" s="399" t="n"/>
      <c r="E25" s="399" t="n"/>
      <c r="F25" s="399" t="n"/>
      <c r="G25" s="399" t="n"/>
    </row>
    <row r="26" ht="13.5" customFormat="1" customHeight="1" s="364">
      <c r="A26" s="364">
        <f>LEFT(B26, FIND("-", B26) - 1)</f>
        <v/>
      </c>
      <c r="B26" s="364" t="inlineStr">
        <is>
          <t>HR-RETENTION</t>
        </is>
      </c>
      <c r="C26" s="399" t="n"/>
      <c r="D26" s="399" t="n"/>
      <c r="E26" s="399" t="n"/>
      <c r="F26" s="399" t="n"/>
      <c r="G26" s="399" t="n"/>
    </row>
    <row r="27" ht="13.5" customFormat="1" customHeight="1" s="364">
      <c r="A27" s="364">
        <f>LEFT(B27, FIND("-", B27) - 1)</f>
        <v/>
      </c>
      <c r="B27" s="364" t="inlineStr">
        <is>
          <t>HR-INTPROMO</t>
        </is>
      </c>
      <c r="C27" s="399" t="inlineStr">
        <is>
          <t>2022</t>
        </is>
      </c>
      <c r="D27" s="399" t="n"/>
      <c r="E27" s="399" t="n">
        <v>49.3</v>
      </c>
      <c r="F27" s="399" t="n">
        <v>10</v>
      </c>
      <c r="G27" s="399" t="n">
        <v>6</v>
      </c>
      <c r="H27" s="399" t="n"/>
    </row>
    <row r="28" ht="13.5" customFormat="1" customHeight="1" s="364">
      <c r="A28" s="364">
        <f>LEFT(B28, FIND("-", B28) - 1)</f>
        <v/>
      </c>
      <c r="B28" s="364" t="inlineStr">
        <is>
          <t>HR-COMPANDBEN</t>
        </is>
      </c>
      <c r="C28" s="399" t="n"/>
      <c r="D28" s="399" t="n"/>
      <c r="E28" s="399" t="n"/>
      <c r="F28" s="399" t="n"/>
      <c r="G28" s="399" t="n"/>
    </row>
    <row r="29" ht="13.5" customFormat="1" customHeight="1" s="364">
      <c r="A29" s="364">
        <f>LEFT(B29, FIND("-", B29) - 1)</f>
        <v/>
      </c>
      <c r="B29" s="363" t="inlineStr">
        <is>
          <t>HR-DOTCOMPSCORE</t>
        </is>
      </c>
      <c r="C29" s="399" t="n"/>
      <c r="D29" s="399" t="n"/>
      <c r="E29" s="399" t="n"/>
      <c r="F29" s="399" t="n"/>
      <c r="G29" s="399" t="n"/>
    </row>
    <row r="30" ht="13.5" customFormat="1" customHeight="1" s="364">
      <c r="A30" s="364">
        <f>LEFT(B30, FIND("-", B30) - 1)</f>
        <v/>
      </c>
      <c r="B30" s="364" t="inlineStr">
        <is>
          <t>HR-EMOD</t>
        </is>
      </c>
      <c r="C30" s="399" t="n"/>
      <c r="D30" s="399" t="n"/>
      <c r="E30" s="399" t="n"/>
      <c r="F30" s="399" t="n"/>
      <c r="G30" s="399" t="n"/>
    </row>
    <row r="31" ht="13.5" customFormat="1" customHeight="1" s="364">
      <c r="A31" s="364">
        <f>LEFT(B31, FIND("-", B31) - 1)</f>
        <v/>
      </c>
      <c r="B31" s="364" t="inlineStr">
        <is>
          <t>HR-LOSSRUNREPORT</t>
        </is>
      </c>
      <c r="C31" s="399" t="n"/>
      <c r="D31" s="399" t="n"/>
      <c r="E31" s="399" t="n"/>
      <c r="F31" s="399" t="n"/>
      <c r="G31" s="399" t="n"/>
    </row>
    <row r="32" ht="13.5" customFormat="1" customHeight="1" s="364">
      <c r="A32" s="364">
        <f>LEFT(B32, FIND("-", B32) - 1)</f>
        <v/>
      </c>
      <c r="B32" s="364" t="inlineStr">
        <is>
          <t>HR-PROPCASCLAIM</t>
        </is>
      </c>
      <c r="C32" s="399" t="n"/>
      <c r="D32" s="399" t="n"/>
      <c r="E32" s="399" t="n"/>
      <c r="F32" s="399" t="n"/>
      <c r="G32" s="399" t="n"/>
    </row>
    <row r="33" ht="13.5" customFormat="1" customHeight="1" s="364">
      <c r="A33" s="364">
        <f>LEFT(B33, FIND("-", B33) - 1)</f>
        <v/>
      </c>
      <c r="B33" s="351" t="inlineStr">
        <is>
          <t>HR-ACCREVBOARD</t>
        </is>
      </c>
      <c r="C33" s="399" t="n"/>
      <c r="D33" s="399" t="n"/>
      <c r="E33" s="399" t="n"/>
      <c r="F33" s="399" t="n"/>
      <c r="G33" s="399" t="n"/>
    </row>
    <row r="34" ht="13.5" customFormat="1" customHeight="1" s="364">
      <c r="A34" s="364">
        <f>LEFT(B34, FIND("-", B34) - 1)</f>
        <v/>
      </c>
      <c r="B34" s="351" t="inlineStr">
        <is>
          <t>HR-SAFETYTRAINING</t>
        </is>
      </c>
      <c r="C34" s="399" t="n"/>
      <c r="D34" s="399" t="n"/>
      <c r="E34" s="399" t="n"/>
      <c r="F34" s="399" t="n"/>
      <c r="G34" s="399" t="n"/>
    </row>
    <row r="35" ht="15" customFormat="1" customHeight="1" s="400">
      <c r="A35" s="401">
        <f>LEFT(B35, FIND("-", B35) - 1)</f>
        <v/>
      </c>
      <c r="B35" s="402" t="inlineStr">
        <is>
          <t>IT-UPTIME</t>
        </is>
      </c>
      <c r="C35" s="403" t="inlineStr">
        <is>
          <t>2020</t>
        </is>
      </c>
      <c r="D35" s="404" t="n"/>
      <c r="E35" s="404" t="n">
        <v>99.89</v>
      </c>
      <c r="F35" s="404" t="n">
        <v>99.98999999999999</v>
      </c>
      <c r="G35" s="404" t="n">
        <v>99.999</v>
      </c>
      <c r="H35" s="405" t="n"/>
    </row>
    <row r="36" ht="15" customFormat="1" customHeight="1" s="400">
      <c r="A36" s="401">
        <f>LEFT(B36, FIND("-", B36) - 1)</f>
        <v/>
      </c>
      <c r="B36" s="402" t="inlineStr">
        <is>
          <t>IT-UPTIME</t>
        </is>
      </c>
      <c r="C36" s="403" t="inlineStr">
        <is>
          <t>2021</t>
        </is>
      </c>
      <c r="D36" s="404" t="n"/>
      <c r="E36" s="404" t="n">
        <v>99.98</v>
      </c>
      <c r="F36" s="404" t="n">
        <v>99.98999999999999</v>
      </c>
      <c r="G36" s="404" t="n">
        <v>99.999</v>
      </c>
      <c r="H36" s="405" t="n"/>
    </row>
    <row r="37" ht="15" customFormat="1" customHeight="1" s="400">
      <c r="A37" s="401">
        <f>LEFT(B37, FIND("-", B37) - 1)</f>
        <v/>
      </c>
      <c r="B37" s="402" t="inlineStr">
        <is>
          <t>IT-UPTIME</t>
        </is>
      </c>
      <c r="C37" s="403" t="inlineStr">
        <is>
          <t>2022</t>
        </is>
      </c>
      <c r="D37" s="404" t="n"/>
      <c r="E37" s="404" t="n">
        <v>99.92</v>
      </c>
      <c r="F37" s="404" t="n">
        <v>99.98999999999999</v>
      </c>
      <c r="G37" s="404" t="n">
        <v>99.999</v>
      </c>
      <c r="H37" s="405" t="n"/>
    </row>
    <row r="38" ht="15" customFormat="1" customHeight="1" s="400">
      <c r="A38" s="401">
        <f>LEFT(B38, FIND("-", B38) - 1)</f>
        <v/>
      </c>
      <c r="B38" s="402" t="inlineStr">
        <is>
          <t>IT-UPTIME</t>
        </is>
      </c>
      <c r="C38" s="403" t="inlineStr">
        <is>
          <t>2023</t>
        </is>
      </c>
      <c r="D38" s="404" t="n"/>
      <c r="E38" s="404" t="n">
        <v>99.91</v>
      </c>
      <c r="F38" s="404" t="n">
        <v>99.98999999999999</v>
      </c>
      <c r="G38" s="404" t="n">
        <v>99.999</v>
      </c>
      <c r="H38" s="405" t="n"/>
    </row>
    <row r="39" ht="15" customFormat="1" customHeight="1" s="400">
      <c r="A39" s="401">
        <f>LEFT(B39, FIND("-", B39) - 1)</f>
        <v/>
      </c>
      <c r="B39" s="402" t="inlineStr">
        <is>
          <t>IT-UPTIME</t>
        </is>
      </c>
      <c r="C39" s="403" t="inlineStr">
        <is>
          <t>2024</t>
        </is>
      </c>
      <c r="D39" s="404" t="n"/>
      <c r="E39" s="404" t="n">
        <v>99.79000000000001</v>
      </c>
      <c r="F39" s="404" t="n">
        <v>99.98999999999999</v>
      </c>
      <c r="G39" s="404" t="n">
        <v>99.999</v>
      </c>
      <c r="H39" s="405" t="n"/>
    </row>
    <row r="40" ht="15" customFormat="1" customHeight="1" s="400">
      <c r="A40" s="401">
        <f>LEFT(B40, FIND("-", B40) - 1)</f>
        <v/>
      </c>
      <c r="B40" s="402" t="inlineStr">
        <is>
          <t>IT-UPTIME</t>
        </is>
      </c>
      <c r="C40" s="403" t="inlineStr">
        <is>
          <t>2025</t>
        </is>
      </c>
      <c r="D40" s="404" t="n"/>
      <c r="E40" s="404" t="n">
        <v>99.84999999999999</v>
      </c>
      <c r="F40" s="404" t="n">
        <v>99.98999999999999</v>
      </c>
      <c r="G40" s="404" t="n">
        <v>99.999</v>
      </c>
      <c r="H40" s="405" t="n"/>
    </row>
    <row r="41" ht="15" customFormat="1" customHeight="1" s="400">
      <c r="A41" s="401">
        <f>LEFT(B41, FIND("-", B41) - 1)</f>
        <v/>
      </c>
      <c r="B41" s="402" t="inlineStr">
        <is>
          <t>IT-PITSURV</t>
        </is>
      </c>
      <c r="C41" s="403" t="inlineStr">
        <is>
          <t>2022</t>
        </is>
      </c>
      <c r="D41" s="404" t="n"/>
      <c r="E41" s="404" t="n">
        <v>80</v>
      </c>
      <c r="F41" s="404" t="n">
        <v>85</v>
      </c>
      <c r="G41" s="404" t="n"/>
      <c r="H41" s="405" t="n"/>
    </row>
    <row r="42" ht="15" customFormat="1" customHeight="1" s="400">
      <c r="A42" s="401">
        <f>LEFT(B42, FIND("-", B42) - 1)</f>
        <v/>
      </c>
      <c r="B42" s="402" t="inlineStr">
        <is>
          <t>IT-PITSURV</t>
        </is>
      </c>
      <c r="C42" s="403" t="inlineStr">
        <is>
          <t>2023</t>
        </is>
      </c>
      <c r="D42" s="404" t="n"/>
      <c r="E42" s="404" t="n">
        <v>89.86</v>
      </c>
      <c r="F42" s="404" t="n">
        <v>85</v>
      </c>
      <c r="G42" s="404" t="n"/>
      <c r="H42" s="405" t="n"/>
    </row>
    <row r="43" ht="15" customFormat="1" customHeight="1" s="400">
      <c r="A43" s="401">
        <f>LEFT(B43, FIND("-", B43) - 1)</f>
        <v/>
      </c>
      <c r="B43" s="402" t="inlineStr">
        <is>
          <t>IT-PITSURV</t>
        </is>
      </c>
      <c r="C43" s="403" t="inlineStr">
        <is>
          <t>2024</t>
        </is>
      </c>
      <c r="D43" s="404" t="n"/>
      <c r="E43" s="404" t="n">
        <v>85.70999999999999</v>
      </c>
      <c r="F43" s="404" t="n">
        <v>85</v>
      </c>
      <c r="G43" s="404" t="n"/>
      <c r="H43" s="405" t="n"/>
    </row>
    <row r="44" ht="15" customFormat="1" customHeight="1" s="400">
      <c r="A44" s="401">
        <f>LEFT(B44, FIND("-", B44) - 1)</f>
        <v/>
      </c>
      <c r="B44" s="402" t="inlineStr">
        <is>
          <t>IT-PITSURV</t>
        </is>
      </c>
      <c r="C44" s="403" t="inlineStr">
        <is>
          <t>2025</t>
        </is>
      </c>
      <c r="D44" s="404" t="n"/>
      <c r="E44" s="404" t="n">
        <v>89.97</v>
      </c>
      <c r="F44" s="404" t="n">
        <v>85</v>
      </c>
      <c r="G44" s="404" t="n"/>
      <c r="H44" s="405" t="n"/>
    </row>
    <row r="45" ht="15" customFormat="1" customHeight="1" s="400">
      <c r="A45" s="401">
        <f>LEFT(B45, FIND("-", B45) - 1)</f>
        <v/>
      </c>
      <c r="B45" s="402" t="inlineStr">
        <is>
          <t>IT-TIXSLA</t>
        </is>
      </c>
      <c r="C45" s="403" t="inlineStr">
        <is>
          <t>2022</t>
        </is>
      </c>
      <c r="D45" s="404" t="inlineStr">
        <is>
          <t>Minor</t>
        </is>
      </c>
      <c r="E45" s="404" t="n"/>
      <c r="F45" s="404" t="n">
        <v>95</v>
      </c>
      <c r="G45" s="404" t="n">
        <v>100</v>
      </c>
      <c r="H45" s="405" t="n"/>
    </row>
    <row r="46" ht="15" customFormat="1" customHeight="1" s="400">
      <c r="A46" s="401">
        <f>LEFT(B46, FIND("-", B46) - 1)</f>
        <v/>
      </c>
      <c r="B46" s="402" t="inlineStr">
        <is>
          <t>IT-TIXSLA</t>
        </is>
      </c>
      <c r="C46" s="403" t="inlineStr">
        <is>
          <t>2022</t>
        </is>
      </c>
      <c r="D46" s="404" t="inlineStr">
        <is>
          <t>Normal</t>
        </is>
      </c>
      <c r="E46" s="404" t="n"/>
      <c r="F46" s="404" t="n">
        <v>95</v>
      </c>
      <c r="G46" s="404" t="n">
        <v>100</v>
      </c>
      <c r="H46" s="405" t="n"/>
    </row>
    <row r="47" ht="15" customFormat="1" customHeight="1" s="400">
      <c r="A47" s="401">
        <f>LEFT(B47, FIND("-", B47) - 1)</f>
        <v/>
      </c>
      <c r="B47" s="402" t="inlineStr">
        <is>
          <t>IT-TIXSLA</t>
        </is>
      </c>
      <c r="C47" s="403" t="inlineStr">
        <is>
          <t>2022</t>
        </is>
      </c>
      <c r="D47" s="404" t="inlineStr">
        <is>
          <t>Urgent</t>
        </is>
      </c>
      <c r="E47" s="404" t="n"/>
      <c r="F47" s="404" t="n">
        <v>95</v>
      </c>
      <c r="G47" s="404" t="n">
        <v>100</v>
      </c>
      <c r="H47" s="405" t="n"/>
    </row>
    <row r="48" ht="15" customFormat="1" customHeight="1" s="400">
      <c r="A48" s="401">
        <f>LEFT(B48, FIND("-", B48) - 1)</f>
        <v/>
      </c>
      <c r="B48" s="402" t="inlineStr">
        <is>
          <t>IT-TIXSLA</t>
        </is>
      </c>
      <c r="C48" s="403" t="inlineStr">
        <is>
          <t>2022</t>
        </is>
      </c>
      <c r="D48" s="404" t="inlineStr">
        <is>
          <t>Critical</t>
        </is>
      </c>
      <c r="E48" s="404" t="n"/>
      <c r="F48" s="404" t="n">
        <v>95</v>
      </c>
      <c r="G48" s="404" t="n">
        <v>100</v>
      </c>
      <c r="H48" s="405" t="n"/>
    </row>
    <row r="49" ht="15" customFormat="1" customHeight="1" s="400">
      <c r="A49" s="401">
        <f>LEFT(B49, FIND("-", B49) - 1)</f>
        <v/>
      </c>
      <c r="B49" s="402" t="inlineStr">
        <is>
          <t>IT-TIXSLA</t>
        </is>
      </c>
      <c r="C49" s="403" t="inlineStr">
        <is>
          <t>2023</t>
        </is>
      </c>
      <c r="D49" s="404" t="inlineStr">
        <is>
          <t>Minor</t>
        </is>
      </c>
      <c r="E49" s="404" t="n"/>
      <c r="F49" s="404" t="n">
        <v>95</v>
      </c>
      <c r="G49" s="404" t="n">
        <v>100</v>
      </c>
      <c r="H49" s="405" t="n"/>
    </row>
    <row r="50" ht="15" customFormat="1" customHeight="1" s="400">
      <c r="A50" s="401">
        <f>LEFT(B50, FIND("-", B50) - 1)</f>
        <v/>
      </c>
      <c r="B50" s="402" t="inlineStr">
        <is>
          <t>IT-TIXSLA</t>
        </is>
      </c>
      <c r="C50" s="403" t="inlineStr">
        <is>
          <t>2023</t>
        </is>
      </c>
      <c r="D50" s="404" t="inlineStr">
        <is>
          <t>Normal</t>
        </is>
      </c>
      <c r="E50" s="404" t="n"/>
      <c r="F50" s="404" t="n">
        <v>95</v>
      </c>
      <c r="G50" s="404" t="n">
        <v>100</v>
      </c>
      <c r="H50" s="405" t="n"/>
    </row>
    <row r="51" ht="15" customFormat="1" customHeight="1" s="400">
      <c r="A51" s="401">
        <f>LEFT(B51, FIND("-", B51) - 1)</f>
        <v/>
      </c>
      <c r="B51" s="402" t="inlineStr">
        <is>
          <t>IT-TIXSLA</t>
        </is>
      </c>
      <c r="C51" s="403" t="inlineStr">
        <is>
          <t>2023</t>
        </is>
      </c>
      <c r="D51" s="404" t="inlineStr">
        <is>
          <t>Urgent</t>
        </is>
      </c>
      <c r="E51" s="404" t="n"/>
      <c r="F51" s="404" t="n">
        <v>95</v>
      </c>
      <c r="G51" s="404" t="n">
        <v>100</v>
      </c>
      <c r="H51" s="405" t="n"/>
    </row>
    <row r="52" ht="15" customFormat="1" customHeight="1" s="400">
      <c r="A52" s="401">
        <f>LEFT(B52, FIND("-", B52) - 1)</f>
        <v/>
      </c>
      <c r="B52" s="402" t="inlineStr">
        <is>
          <t>IT-TIXSLA</t>
        </is>
      </c>
      <c r="C52" s="403" t="inlineStr">
        <is>
          <t>2023</t>
        </is>
      </c>
      <c r="D52" s="404" t="inlineStr">
        <is>
          <t>Critical</t>
        </is>
      </c>
      <c r="E52" s="404" t="n"/>
      <c r="F52" s="404" t="n">
        <v>95</v>
      </c>
      <c r="G52" s="404" t="n">
        <v>100</v>
      </c>
      <c r="H52" s="405" t="n"/>
    </row>
    <row r="53" ht="15" customFormat="1" customHeight="1" s="400">
      <c r="A53" s="401">
        <f>LEFT(B53, FIND("-", B53) - 1)</f>
        <v/>
      </c>
      <c r="B53" s="402" t="inlineStr">
        <is>
          <t>IT-TIXSLA</t>
        </is>
      </c>
      <c r="C53" s="403" t="inlineStr">
        <is>
          <t>2024</t>
        </is>
      </c>
      <c r="D53" s="404" t="inlineStr">
        <is>
          <t>Minor</t>
        </is>
      </c>
      <c r="E53" s="404" t="n"/>
      <c r="F53" s="404" t="n">
        <v>95</v>
      </c>
      <c r="G53" s="404" t="n">
        <v>100</v>
      </c>
      <c r="H53" s="405" t="n"/>
    </row>
    <row r="54" ht="15" customFormat="1" customHeight="1" s="400">
      <c r="A54" s="401">
        <f>LEFT(B54, FIND("-", B54) - 1)</f>
        <v/>
      </c>
      <c r="B54" s="402" t="inlineStr">
        <is>
          <t>IT-TIXSLA</t>
        </is>
      </c>
      <c r="C54" s="403" t="inlineStr">
        <is>
          <t>2024</t>
        </is>
      </c>
      <c r="D54" s="404" t="inlineStr">
        <is>
          <t>Normal</t>
        </is>
      </c>
      <c r="E54" s="404" t="n"/>
      <c r="F54" s="404" t="n">
        <v>95</v>
      </c>
      <c r="G54" s="404" t="n">
        <v>100</v>
      </c>
      <c r="H54" s="405" t="n"/>
    </row>
    <row r="55" ht="15" customFormat="1" customHeight="1" s="400">
      <c r="A55" s="401">
        <f>LEFT(B55, FIND("-", B55) - 1)</f>
        <v/>
      </c>
      <c r="B55" s="402" t="inlineStr">
        <is>
          <t>IT-TIXSLA</t>
        </is>
      </c>
      <c r="C55" s="403" t="inlineStr">
        <is>
          <t>2024</t>
        </is>
      </c>
      <c r="D55" s="404" t="inlineStr">
        <is>
          <t>Urgent</t>
        </is>
      </c>
      <c r="E55" s="404" t="n"/>
      <c r="F55" s="404" t="n">
        <v>95</v>
      </c>
      <c r="G55" s="404" t="n">
        <v>100</v>
      </c>
      <c r="H55" s="405" t="n"/>
    </row>
    <row r="56" ht="15" customFormat="1" customHeight="1" s="400">
      <c r="A56" s="401">
        <f>LEFT(B56, FIND("-", B56) - 1)</f>
        <v/>
      </c>
      <c r="B56" s="402" t="inlineStr">
        <is>
          <t>IT-TIXSLA</t>
        </is>
      </c>
      <c r="C56" s="403" t="inlineStr">
        <is>
          <t>2024</t>
        </is>
      </c>
      <c r="D56" s="404" t="inlineStr">
        <is>
          <t>Critical</t>
        </is>
      </c>
      <c r="E56" s="404" t="n"/>
      <c r="F56" s="404" t="n">
        <v>95</v>
      </c>
      <c r="G56" s="404" t="n">
        <v>100</v>
      </c>
      <c r="H56" s="405" t="n"/>
    </row>
    <row r="57" ht="15" customFormat="1" customHeight="1" s="400">
      <c r="A57" s="401">
        <f>LEFT(B57, FIND("-", B57) - 1)</f>
        <v/>
      </c>
      <c r="B57" s="402" t="inlineStr">
        <is>
          <t>IT-TIXSLA</t>
        </is>
      </c>
      <c r="C57" s="403" t="inlineStr">
        <is>
          <t>2025</t>
        </is>
      </c>
      <c r="D57" s="404" t="inlineStr">
        <is>
          <t>Minor</t>
        </is>
      </c>
      <c r="E57" s="404" t="n"/>
      <c r="F57" s="404" t="n">
        <v>95</v>
      </c>
      <c r="G57" s="404" t="n">
        <v>100</v>
      </c>
      <c r="H57" s="405" t="n"/>
    </row>
    <row r="58" ht="15" customFormat="1" customHeight="1" s="400">
      <c r="A58" s="401">
        <f>LEFT(B58, FIND("-", B58) - 1)</f>
        <v/>
      </c>
      <c r="B58" s="402" t="inlineStr">
        <is>
          <t>IT-TIXSLA</t>
        </is>
      </c>
      <c r="C58" s="403" t="inlineStr">
        <is>
          <t>2025</t>
        </is>
      </c>
      <c r="D58" s="404" t="inlineStr">
        <is>
          <t>Normal</t>
        </is>
      </c>
      <c r="E58" s="404" t="n"/>
      <c r="F58" s="404" t="n">
        <v>95</v>
      </c>
      <c r="G58" s="404" t="n">
        <v>100</v>
      </c>
      <c r="H58" s="405" t="n"/>
    </row>
    <row r="59" ht="15" customFormat="1" customHeight="1" s="400">
      <c r="A59" s="401">
        <f>LEFT(B59, FIND("-", B59) - 1)</f>
        <v/>
      </c>
      <c r="B59" s="402" t="inlineStr">
        <is>
          <t>IT-TIXSLA</t>
        </is>
      </c>
      <c r="C59" s="403" t="inlineStr">
        <is>
          <t>2025</t>
        </is>
      </c>
      <c r="D59" s="404" t="inlineStr">
        <is>
          <t>Urgent</t>
        </is>
      </c>
      <c r="E59" s="404" t="n"/>
      <c r="F59" s="404" t="n">
        <v>95</v>
      </c>
      <c r="G59" s="404" t="n">
        <v>100</v>
      </c>
      <c r="H59" s="405" t="n"/>
    </row>
    <row r="60" ht="15" customFormat="1" customHeight="1" s="400">
      <c r="A60" s="401">
        <f>LEFT(B60, FIND("-", B60) - 1)</f>
        <v/>
      </c>
      <c r="B60" s="402" t="inlineStr">
        <is>
          <t>IT-TIXSLA</t>
        </is>
      </c>
      <c r="C60" s="403" t="inlineStr">
        <is>
          <t>2025</t>
        </is>
      </c>
      <c r="D60" s="404" t="inlineStr">
        <is>
          <t>Critical</t>
        </is>
      </c>
      <c r="E60" s="404" t="n"/>
      <c r="F60" s="404" t="n">
        <v>95</v>
      </c>
      <c r="G60" s="404" t="n">
        <v>100</v>
      </c>
      <c r="H60" s="405" t="n"/>
    </row>
    <row r="61" ht="15" customFormat="1" customHeight="1" s="400">
      <c r="A61" s="401">
        <f>LEFT(B61, FIND("-", B61) - 1)</f>
        <v/>
      </c>
      <c r="B61" s="402" t="inlineStr">
        <is>
          <t>IT-PHISHRATE</t>
        </is>
      </c>
      <c r="C61" s="403" t="inlineStr">
        <is>
          <t>2020-Q1</t>
        </is>
      </c>
      <c r="D61" s="406" t="n"/>
      <c r="E61" s="404" t="n">
        <v>8.9</v>
      </c>
      <c r="F61" s="404" t="n">
        <v>3.9</v>
      </c>
      <c r="G61" s="404" t="n">
        <v>3.9</v>
      </c>
      <c r="H61" s="405" t="n"/>
    </row>
    <row r="62" ht="15" customFormat="1" customHeight="1" s="400">
      <c r="A62" s="401">
        <f>LEFT(B62, FIND("-", B62) - 1)</f>
        <v/>
      </c>
      <c r="B62" s="402" t="inlineStr">
        <is>
          <t>IT-PHISHRATE</t>
        </is>
      </c>
      <c r="C62" s="403" t="inlineStr">
        <is>
          <t>2020-Q2</t>
        </is>
      </c>
      <c r="D62" s="406" t="n"/>
      <c r="E62" s="404" t="n">
        <v>2.4</v>
      </c>
      <c r="F62" s="404" t="n">
        <v>3.9</v>
      </c>
      <c r="G62" s="404" t="n">
        <v>3.9</v>
      </c>
      <c r="H62" s="405" t="n"/>
    </row>
    <row r="63" ht="13.5" customFormat="1" customHeight="1" s="405">
      <c r="A63" s="405">
        <f>LEFT(B63, FIND("-", B63) - 1)</f>
        <v/>
      </c>
      <c r="B63" s="405" t="inlineStr">
        <is>
          <t>IT-PHISHRATE</t>
        </is>
      </c>
      <c r="C63" s="407" t="inlineStr">
        <is>
          <t>2022-Q2</t>
        </is>
      </c>
      <c r="D63" s="407" t="n"/>
      <c r="E63" s="407" t="n">
        <v>1.05</v>
      </c>
      <c r="F63" s="407" t="n">
        <v>3.9</v>
      </c>
      <c r="G63" s="407" t="n">
        <v>3.9</v>
      </c>
    </row>
    <row r="64" ht="13.5" customFormat="1" customHeight="1" s="405">
      <c r="A64" s="405">
        <f>LEFT(B64, FIND("-", B64) - 1)</f>
        <v/>
      </c>
      <c r="B64" s="405" t="inlineStr">
        <is>
          <t>IT-PHISHRATE</t>
        </is>
      </c>
      <c r="C64" s="407" t="inlineStr">
        <is>
          <t>2022-Q3</t>
        </is>
      </c>
      <c r="D64" s="407" t="n"/>
      <c r="E64" s="407" t="n">
        <v>0.9</v>
      </c>
      <c r="F64" s="407" t="n">
        <v>3.9</v>
      </c>
      <c r="G64" s="407" t="n">
        <v>3.9</v>
      </c>
    </row>
    <row r="65" ht="13.5" customFormat="1" customHeight="1" s="405">
      <c r="A65" s="405">
        <f>LEFT(B65, FIND("-", B65) - 1)</f>
        <v/>
      </c>
      <c r="B65" s="405" t="inlineStr">
        <is>
          <t>IT-PHISHRATE</t>
        </is>
      </c>
      <c r="C65" s="407" t="inlineStr">
        <is>
          <t>2022-Q4</t>
        </is>
      </c>
      <c r="D65" s="407" t="n"/>
      <c r="E65" s="407" t="n">
        <v>0.633333333333333</v>
      </c>
      <c r="F65" s="407" t="n">
        <v>3.9</v>
      </c>
      <c r="G65" s="407" t="n">
        <v>3.9</v>
      </c>
    </row>
    <row r="66" ht="13.5" customFormat="1" customHeight="1" s="405">
      <c r="A66" s="405">
        <f>LEFT(B66, FIND("-", B66) - 1)</f>
        <v/>
      </c>
      <c r="B66" s="405" t="inlineStr">
        <is>
          <t>IT-PHISHRATE</t>
        </is>
      </c>
      <c r="C66" s="407" t="inlineStr">
        <is>
          <t>2023-Q1</t>
        </is>
      </c>
      <c r="D66" s="407" t="n"/>
      <c r="E66" s="407" t="n">
        <v>0.7</v>
      </c>
      <c r="F66" s="407" t="n">
        <v>3.9</v>
      </c>
      <c r="G66" s="407" t="n">
        <v>3.9</v>
      </c>
    </row>
    <row r="67" ht="13.5" customFormat="1" customHeight="1" s="405">
      <c r="A67" s="405">
        <f>LEFT(B67, FIND("-", B67) - 1)</f>
        <v/>
      </c>
      <c r="B67" s="405" t="inlineStr">
        <is>
          <t>IT-PHISHRATE</t>
        </is>
      </c>
      <c r="C67" s="407" t="inlineStr">
        <is>
          <t>2023-Q2</t>
        </is>
      </c>
      <c r="D67" s="407" t="n"/>
      <c r="E67" s="407" t="n">
        <v>1.13333333333333</v>
      </c>
      <c r="F67" s="407" t="n">
        <v>3.9</v>
      </c>
      <c r="G67" s="407" t="n">
        <v>3.9</v>
      </c>
    </row>
    <row r="68" ht="13.5" customFormat="1" customHeight="1" s="405">
      <c r="A68" s="405">
        <f>LEFT(B68, FIND("-", B68) - 1)</f>
        <v/>
      </c>
      <c r="B68" s="405" t="inlineStr">
        <is>
          <t>IT-PHISHRATE</t>
        </is>
      </c>
      <c r="C68" s="407" t="inlineStr">
        <is>
          <t>2023-Q3</t>
        </is>
      </c>
      <c r="D68" s="407" t="n"/>
      <c r="E68" s="407" t="n">
        <v>0.566666666666667</v>
      </c>
      <c r="F68" s="407" t="n">
        <v>3.9</v>
      </c>
      <c r="G68" s="407" t="n">
        <v>3.9</v>
      </c>
    </row>
    <row r="69" ht="13.5" customFormat="1" customHeight="1" s="405">
      <c r="A69" s="405">
        <f>LEFT(B69, FIND("-", B69) - 1)</f>
        <v/>
      </c>
      <c r="B69" s="405" t="inlineStr">
        <is>
          <t>IT-PHISHRATE</t>
        </is>
      </c>
      <c r="C69" s="407" t="inlineStr">
        <is>
          <t>2023-Q4</t>
        </is>
      </c>
      <c r="D69" s="407" t="n"/>
      <c r="E69" s="407" t="n">
        <v>0.833333333333333</v>
      </c>
      <c r="F69" s="407" t="n">
        <v>3.9</v>
      </c>
      <c r="G69" s="407" t="n">
        <v>3.9</v>
      </c>
    </row>
    <row r="70" ht="13.5" customFormat="1" customHeight="1" s="405">
      <c r="A70" s="405">
        <f>LEFT(B70, FIND("-", B70) - 1)</f>
        <v/>
      </c>
      <c r="B70" s="405" t="inlineStr">
        <is>
          <t>IT-PHISHRATE</t>
        </is>
      </c>
      <c r="C70" s="407" t="inlineStr">
        <is>
          <t>2024-Q1</t>
        </is>
      </c>
      <c r="D70" s="407" t="n"/>
      <c r="E70" s="407" t="n">
        <v>1.53333333333333</v>
      </c>
      <c r="F70" s="407" t="n">
        <v>3.9</v>
      </c>
      <c r="G70" s="407" t="n">
        <v>3.9</v>
      </c>
    </row>
    <row r="71" ht="13.5" customFormat="1" customHeight="1" s="405">
      <c r="A71" s="405">
        <f>LEFT(B71, FIND("-", B71) - 1)</f>
        <v/>
      </c>
      <c r="B71" s="405" t="inlineStr">
        <is>
          <t>IT-PHISHRATE</t>
        </is>
      </c>
      <c r="C71" s="407" t="inlineStr">
        <is>
          <t>2024-Q2</t>
        </is>
      </c>
      <c r="D71" s="407" t="n"/>
      <c r="E71" s="407" t="n">
        <v>1.1</v>
      </c>
      <c r="F71" s="407" t="n">
        <v>3.9</v>
      </c>
      <c r="G71" s="407" t="n">
        <v>3.9</v>
      </c>
    </row>
    <row r="72" ht="13.5" customFormat="1" customHeight="1" s="405">
      <c r="A72" s="405">
        <f>LEFT(B72, FIND("-", B72) - 1)</f>
        <v/>
      </c>
      <c r="B72" s="405" t="inlineStr">
        <is>
          <t>IT-PHISHRATE</t>
        </is>
      </c>
      <c r="C72" s="407" t="inlineStr">
        <is>
          <t>2024-Q3</t>
        </is>
      </c>
      <c r="D72" s="407" t="n"/>
      <c r="E72" s="407" t="n">
        <v>0.666666666666667</v>
      </c>
      <c r="F72" s="407" t="n">
        <v>3.9</v>
      </c>
      <c r="G72" s="407" t="n">
        <v>3.9</v>
      </c>
    </row>
    <row r="73" ht="13.5" customFormat="1" customHeight="1" s="405">
      <c r="A73" s="405">
        <f>LEFT(B73, FIND("-", B73) - 1)</f>
        <v/>
      </c>
      <c r="B73" s="405" t="inlineStr">
        <is>
          <t>IT-PHISHRATE</t>
        </is>
      </c>
      <c r="C73" s="407" t="inlineStr">
        <is>
          <t>2024-Q4</t>
        </is>
      </c>
      <c r="D73" s="407" t="n"/>
      <c r="E73" s="407" t="n">
        <v>0.7333333333333329</v>
      </c>
      <c r="F73" s="407" t="n">
        <v>3.9</v>
      </c>
      <c r="G73" s="407" t="n">
        <v>3.9</v>
      </c>
    </row>
    <row r="74" ht="13.5" customFormat="1" customHeight="1" s="405">
      <c r="A74" s="405">
        <f>LEFT(B74, FIND("-", B74) - 1)</f>
        <v/>
      </c>
      <c r="B74" s="405" t="inlineStr">
        <is>
          <t>IT-PHISHRATE</t>
        </is>
      </c>
      <c r="C74" s="407" t="inlineStr">
        <is>
          <t>2025-Q1</t>
        </is>
      </c>
      <c r="D74" s="407" t="n"/>
      <c r="E74" s="407" t="n">
        <v>0.75</v>
      </c>
      <c r="F74" s="407" t="n">
        <v>3.9</v>
      </c>
      <c r="G74" s="407" t="n">
        <v>3.9</v>
      </c>
    </row>
    <row r="75" ht="13.5" customFormat="1" customHeight="1" s="405">
      <c r="A75" s="405">
        <f>LEFT(B75, FIND("-", B75) - 1)</f>
        <v/>
      </c>
      <c r="B75" s="405" t="inlineStr">
        <is>
          <t>IT-PHISHRATE</t>
        </is>
      </c>
      <c r="C75" s="407" t="inlineStr">
        <is>
          <t>2025-Q2</t>
        </is>
      </c>
      <c r="D75" s="407" t="n"/>
      <c r="E75" s="407" t="n">
        <v>8.366666666666671</v>
      </c>
      <c r="F75" s="407" t="n">
        <v>3.9</v>
      </c>
      <c r="G75" s="407" t="n">
        <v>3.9</v>
      </c>
    </row>
    <row r="76" ht="13.5" customFormat="1" customHeight="1" s="405">
      <c r="A76" s="405">
        <f>LEFT(B76, FIND("-", B76) - 1)</f>
        <v/>
      </c>
      <c r="B76" s="405" t="inlineStr">
        <is>
          <t>IT-PHISHRATE</t>
        </is>
      </c>
      <c r="C76" s="407" t="inlineStr">
        <is>
          <t>2025-Q3</t>
        </is>
      </c>
      <c r="D76" s="407" t="n"/>
      <c r="E76" s="407" t="n">
        <v>9.699999999999999</v>
      </c>
      <c r="F76" s="407" t="n">
        <v>3.9</v>
      </c>
      <c r="G76" s="407" t="n">
        <v>3.9</v>
      </c>
    </row>
    <row r="77" ht="13.5" customFormat="1" customHeight="1" s="405">
      <c r="A77" s="405">
        <f>LEFT(B77, FIND("-", B77) - 1)</f>
        <v/>
      </c>
      <c r="B77" s="405" t="inlineStr">
        <is>
          <t>IT-PHISHRATE</t>
        </is>
      </c>
      <c r="C77" s="407" t="inlineStr">
        <is>
          <t>2025-Q4</t>
        </is>
      </c>
      <c r="D77" s="407" t="n"/>
      <c r="E77" s="407" t="n">
        <v>10.5666666666667</v>
      </c>
      <c r="F77" s="407" t="n">
        <v>3.9</v>
      </c>
      <c r="G77" s="407" t="n">
        <v>3.9</v>
      </c>
    </row>
    <row r="78" ht="13.5" customFormat="1" customHeight="1" s="405">
      <c r="A78" s="405">
        <f>LEFT(B78, FIND("-", B78) - 1)</f>
        <v/>
      </c>
      <c r="B78" s="405" t="inlineStr">
        <is>
          <t>IT-PHISHRATE</t>
        </is>
      </c>
      <c r="C78" s="407" t="inlineStr">
        <is>
          <t>2026-Q1</t>
        </is>
      </c>
      <c r="D78" s="407" t="n"/>
      <c r="E78" s="407" t="n">
        <v>1.7</v>
      </c>
      <c r="F78" s="407" t="n">
        <v>3.9</v>
      </c>
      <c r="G78" s="407" t="n">
        <v>3.9</v>
      </c>
    </row>
    <row r="79" ht="13.5" customFormat="1" customHeight="1" s="405">
      <c r="A79" s="405">
        <f>LEFT(B79, FIND("-", B79) - 1)</f>
        <v/>
      </c>
      <c r="B79" s="405" t="inlineStr">
        <is>
          <t>IT-PHISHRATE</t>
        </is>
      </c>
      <c r="C79" s="407" t="inlineStr">
        <is>
          <t>2026-Q2</t>
        </is>
      </c>
      <c r="D79" s="407" t="n"/>
      <c r="E79" s="407" t="n">
        <v>0.7333333333333329</v>
      </c>
      <c r="F79" s="407" t="n">
        <v>3.9</v>
      </c>
      <c r="G79" s="407" t="n">
        <v>3.9</v>
      </c>
    </row>
    <row r="80" ht="13.5" customFormat="1" customHeight="1" s="405">
      <c r="A80" s="405">
        <f>LEFT(B80, FIND("-", B80) - 1)</f>
        <v/>
      </c>
      <c r="B80" s="405" t="inlineStr">
        <is>
          <t>IT-PHISHRATE</t>
        </is>
      </c>
      <c r="C80" s="407" t="inlineStr">
        <is>
          <t>2026-Q3</t>
        </is>
      </c>
      <c r="D80" s="407" t="n"/>
      <c r="E80" s="407" t="n">
        <v>0.7666666666666671</v>
      </c>
      <c r="F80" s="407" t="n">
        <v>3.9</v>
      </c>
      <c r="G80" s="407" t="n">
        <v>3.9</v>
      </c>
    </row>
    <row r="81" ht="13.5" customFormat="1" customHeight="1" s="408">
      <c r="A81" s="408">
        <f>LEFT(B81, FIND("-", B81) - 1)</f>
        <v/>
      </c>
      <c r="B81" s="408" t="inlineStr">
        <is>
          <t>LIB-CIRCULATION</t>
        </is>
      </c>
      <c r="C81" s="409" t="inlineStr">
        <is>
          <t>2021</t>
        </is>
      </c>
      <c r="D81" s="409" t="n"/>
      <c r="E81" s="409" t="n">
        <v>143</v>
      </c>
      <c r="F81" s="409" t="n">
        <v>150</v>
      </c>
      <c r="G81" s="409" t="n">
        <v>150</v>
      </c>
    </row>
    <row r="82" ht="13.5" customFormat="1" customHeight="1" s="408">
      <c r="A82" s="408">
        <f>LEFT(B82, FIND("-", B82) - 1)</f>
        <v/>
      </c>
      <c r="B82" s="408" t="inlineStr">
        <is>
          <t>LIB-CIRCULATION</t>
        </is>
      </c>
      <c r="C82" s="409" t="inlineStr">
        <is>
          <t>2022</t>
        </is>
      </c>
      <c r="D82" s="409" t="n"/>
      <c r="E82" s="409" t="n">
        <v>146</v>
      </c>
      <c r="F82" s="409" t="n">
        <v>150</v>
      </c>
      <c r="G82" s="409" t="n">
        <v>150</v>
      </c>
    </row>
    <row r="83" ht="13.5" customFormat="1" customHeight="1" s="408">
      <c r="A83" s="408">
        <f>LEFT(B83, FIND("-", B83) - 1)</f>
        <v/>
      </c>
      <c r="B83" s="408" t="inlineStr">
        <is>
          <t>LIB-CIRCULATION</t>
        </is>
      </c>
      <c r="C83" s="409" t="inlineStr">
        <is>
          <t>2023</t>
        </is>
      </c>
      <c r="D83" s="409" t="n"/>
      <c r="E83" s="409" t="n">
        <v>47</v>
      </c>
      <c r="F83" s="409" t="n">
        <v>150</v>
      </c>
      <c r="G83" s="409" t="n">
        <v>150</v>
      </c>
    </row>
    <row r="84" ht="13.5" customFormat="1" customHeight="1" s="408">
      <c r="A84" s="408">
        <f>LEFT(B84, FIND("-", B84) - 1)</f>
        <v/>
      </c>
      <c r="B84" s="408" t="inlineStr">
        <is>
          <t>LIB-CIRCULATION</t>
        </is>
      </c>
      <c r="C84" s="409" t="inlineStr">
        <is>
          <t>2024</t>
        </is>
      </c>
      <c r="D84" s="409" t="n"/>
      <c r="E84" s="409" t="n">
        <v>122</v>
      </c>
      <c r="F84" s="409" t="n">
        <v>150</v>
      </c>
      <c r="G84" s="409" t="n">
        <v>150</v>
      </c>
    </row>
    <row r="85" ht="13.5" customFormat="1" customHeight="1" s="408">
      <c r="A85" s="408">
        <f>LEFT(B85, FIND("-", B85) - 1)</f>
        <v/>
      </c>
      <c r="B85" s="408" t="inlineStr">
        <is>
          <t>LIB-CIRCULATION</t>
        </is>
      </c>
      <c r="C85" s="409" t="inlineStr">
        <is>
          <t>2025</t>
        </is>
      </c>
      <c r="D85" s="409" t="n"/>
      <c r="E85" s="409" t="n">
        <v>112</v>
      </c>
      <c r="F85" s="409" t="n">
        <v>150</v>
      </c>
      <c r="G85" s="409" t="n">
        <v>150</v>
      </c>
    </row>
    <row r="86" ht="13.5" customFormat="1" customHeight="1" s="408">
      <c r="A86" s="408">
        <f>LEFT(B86, FIND("-", B86) - 1)</f>
        <v/>
      </c>
      <c r="B86" s="408" t="inlineStr">
        <is>
          <t>LIB-CIRCULATION</t>
        </is>
      </c>
      <c r="C86" s="409" t="inlineStr">
        <is>
          <t>2021</t>
        </is>
      </c>
      <c r="D86" s="409" t="inlineStr">
        <is>
          <t>Digital</t>
        </is>
      </c>
      <c r="E86" s="409" t="n">
        <v>55</v>
      </c>
      <c r="F86" s="409" t="n">
        <v>50</v>
      </c>
      <c r="G86" s="409" t="n">
        <v>50</v>
      </c>
    </row>
    <row r="87" ht="13.5" customFormat="1" customHeight="1" s="408">
      <c r="A87" s="408">
        <f>LEFT(B87, FIND("-", B87) - 1)</f>
        <v/>
      </c>
      <c r="B87" s="408" t="inlineStr">
        <is>
          <t>LIB-CIRCULATION</t>
        </is>
      </c>
      <c r="C87" s="409" t="inlineStr">
        <is>
          <t>2022</t>
        </is>
      </c>
      <c r="D87" s="409" t="inlineStr">
        <is>
          <t>Digital</t>
        </is>
      </c>
      <c r="E87" s="409" t="n">
        <v>48</v>
      </c>
      <c r="F87" s="409" t="n">
        <v>50</v>
      </c>
      <c r="G87" s="409" t="n">
        <v>50</v>
      </c>
    </row>
    <row r="88" ht="13.5" customFormat="1" customHeight="1" s="408">
      <c r="A88" s="408">
        <f>LEFT(B88, FIND("-", B88) - 1)</f>
        <v/>
      </c>
      <c r="B88" s="408" t="inlineStr">
        <is>
          <t>LIB-CIRCULATION</t>
        </is>
      </c>
      <c r="C88" s="409" t="inlineStr">
        <is>
          <t>2023</t>
        </is>
      </c>
      <c r="D88" s="409" t="inlineStr">
        <is>
          <t>Digital</t>
        </is>
      </c>
      <c r="E88" s="409" t="n">
        <v>25</v>
      </c>
      <c r="F88" s="409" t="n">
        <v>50</v>
      </c>
      <c r="G88" s="409" t="n">
        <v>50</v>
      </c>
    </row>
    <row r="89" ht="13.5" customFormat="1" customHeight="1" s="408">
      <c r="A89" s="408">
        <f>LEFT(B89, FIND("-", B89) - 1)</f>
        <v/>
      </c>
      <c r="B89" s="408" t="inlineStr">
        <is>
          <t>LIB-CIRCULATION</t>
        </is>
      </c>
      <c r="C89" s="409" t="inlineStr">
        <is>
          <t>2024</t>
        </is>
      </c>
      <c r="D89" s="409" t="inlineStr">
        <is>
          <t>Digital</t>
        </is>
      </c>
      <c r="E89" s="409" t="n">
        <v>68</v>
      </c>
      <c r="F89" s="409" t="n">
        <v>50</v>
      </c>
      <c r="G89" s="409" t="n">
        <v>50</v>
      </c>
    </row>
    <row r="90" ht="13.5" customFormat="1" customHeight="1" s="408">
      <c r="A90" s="408">
        <f>LEFT(B90, FIND("-", B90) - 1)</f>
        <v/>
      </c>
      <c r="B90" s="408" t="inlineStr">
        <is>
          <t>LIB-CIRCULATION</t>
        </is>
      </c>
      <c r="C90" s="409" t="inlineStr">
        <is>
          <t>2025</t>
        </is>
      </c>
      <c r="D90" s="409" t="inlineStr">
        <is>
          <t>Digital</t>
        </is>
      </c>
      <c r="E90" s="409" t="n">
        <v>54</v>
      </c>
      <c r="F90" s="409" t="n">
        <v>50</v>
      </c>
      <c r="G90" s="409" t="n">
        <v>50</v>
      </c>
    </row>
    <row r="91" ht="13.5" customFormat="1" customHeight="1" s="408">
      <c r="A91" s="408">
        <f>LEFT(B91, FIND("-", B91) - 1)</f>
        <v/>
      </c>
      <c r="B91" s="408" t="inlineStr">
        <is>
          <t>LIB-CIRCULATION</t>
        </is>
      </c>
      <c r="C91" s="409" t="inlineStr">
        <is>
          <t>2021</t>
        </is>
      </c>
      <c r="D91" s="409" t="inlineStr">
        <is>
          <t>Physical</t>
        </is>
      </c>
      <c r="E91" s="409" t="n">
        <v>88</v>
      </c>
      <c r="F91" s="409" t="n">
        <v>50</v>
      </c>
      <c r="G91" s="409" t="n">
        <v>50</v>
      </c>
    </row>
    <row r="92" ht="13.5" customFormat="1" customHeight="1" s="408">
      <c r="A92" s="408">
        <f>LEFT(B92, FIND("-", B92) - 1)</f>
        <v/>
      </c>
      <c r="B92" s="408" t="inlineStr">
        <is>
          <t>LIB-CIRCULATION</t>
        </is>
      </c>
      <c r="C92" s="409" t="inlineStr">
        <is>
          <t>2022</t>
        </is>
      </c>
      <c r="D92" s="409" t="inlineStr">
        <is>
          <t>Physical</t>
        </is>
      </c>
      <c r="E92" s="409" t="n">
        <v>98</v>
      </c>
      <c r="F92" s="409" t="n">
        <v>50</v>
      </c>
      <c r="G92" s="409" t="n">
        <v>50</v>
      </c>
    </row>
    <row r="93" ht="13.5" customFormat="1" customHeight="1" s="408">
      <c r="A93" s="408">
        <f>LEFT(B93, FIND("-", B93) - 1)</f>
        <v/>
      </c>
      <c r="B93" s="408" t="inlineStr">
        <is>
          <t>LIB-CIRCULATION</t>
        </is>
      </c>
      <c r="C93" s="409" t="inlineStr">
        <is>
          <t>2023</t>
        </is>
      </c>
      <c r="D93" s="409" t="inlineStr">
        <is>
          <t>Physical</t>
        </is>
      </c>
      <c r="E93" s="409" t="n">
        <v>22</v>
      </c>
      <c r="F93" s="409" t="n">
        <v>50</v>
      </c>
      <c r="G93" s="409" t="n">
        <v>50</v>
      </c>
    </row>
    <row r="94" ht="13.5" customFormat="1" customHeight="1" s="408">
      <c r="A94" s="408">
        <f>LEFT(B94, FIND("-", B94) - 1)</f>
        <v/>
      </c>
      <c r="B94" s="408" t="inlineStr">
        <is>
          <t>LIB-CIRCULATION</t>
        </is>
      </c>
      <c r="C94" s="409" t="inlineStr">
        <is>
          <t>2024</t>
        </is>
      </c>
      <c r="D94" s="409" t="inlineStr">
        <is>
          <t>Physical</t>
        </is>
      </c>
      <c r="E94" s="409" t="n">
        <v>54</v>
      </c>
      <c r="F94" s="409" t="n">
        <v>50</v>
      </c>
      <c r="G94" s="409" t="n">
        <v>50</v>
      </c>
    </row>
    <row r="95" ht="13.5" customFormat="1" customHeight="1" s="408">
      <c r="A95" s="408">
        <f>LEFT(B95, FIND("-", B95) - 1)</f>
        <v/>
      </c>
      <c r="B95" s="408" t="inlineStr">
        <is>
          <t>LIB-CIRCULATION</t>
        </is>
      </c>
      <c r="C95" s="409" t="inlineStr">
        <is>
          <t>2025</t>
        </is>
      </c>
      <c r="D95" s="409" t="inlineStr">
        <is>
          <t>Physical</t>
        </is>
      </c>
      <c r="E95" s="409" t="n">
        <v>58</v>
      </c>
      <c r="F95" s="409" t="n">
        <v>50</v>
      </c>
      <c r="G95" s="409" t="n">
        <v>50</v>
      </c>
    </row>
    <row r="96" ht="13.5" customFormat="1" customHeight="1" s="408">
      <c r="A96" s="408">
        <f>LEFT(B96, FIND("-", B96) - 1)</f>
        <v/>
      </c>
      <c r="B96" s="408" t="inlineStr">
        <is>
          <t>LIB-ROOMRENTALS</t>
        </is>
      </c>
      <c r="C96" s="409" t="inlineStr">
        <is>
          <t>X</t>
        </is>
      </c>
      <c r="D96" s="409" t="n"/>
      <c r="E96" s="409" t="n"/>
      <c r="F96" s="409" t="n"/>
      <c r="G96" s="409" t="n"/>
    </row>
    <row r="97" ht="13.5" customFormat="1" customHeight="1" s="408">
      <c r="A97" s="408">
        <f>LEFT(B97, FIND("-", B97) - 1)</f>
        <v/>
      </c>
      <c r="B97" s="408" t="inlineStr">
        <is>
          <t>LIB-COMPANDWIFI</t>
        </is>
      </c>
      <c r="C97" s="409" t="inlineStr">
        <is>
          <t>X</t>
        </is>
      </c>
      <c r="D97" s="409" t="n"/>
      <c r="E97" s="409" t="n"/>
      <c r="F97" s="409" t="n"/>
      <c r="G97" s="409" t="n"/>
    </row>
    <row r="98" ht="13.5" customFormat="1" customHeight="1" s="408">
      <c r="A98" s="408">
        <f>LEFT(B98, FIND("-", B98) - 1)</f>
        <v/>
      </c>
      <c r="B98" s="408" t="inlineStr">
        <is>
          <t>LIB-REFQUEST</t>
        </is>
      </c>
      <c r="C98" s="409" t="inlineStr">
        <is>
          <t>X</t>
        </is>
      </c>
      <c r="D98" s="409" t="n"/>
      <c r="E98" s="409" t="n"/>
      <c r="F98" s="409" t="n"/>
      <c r="G98" s="409" t="n"/>
    </row>
    <row r="99" ht="13.5" customFormat="1" customHeight="1" s="408">
      <c r="A99" s="408">
        <f>LEFT(B99, FIND("-", B99) - 1)</f>
        <v/>
      </c>
      <c r="B99" s="408" t="inlineStr">
        <is>
          <t>LIB-SOCIALENG</t>
        </is>
      </c>
      <c r="C99" s="409" t="inlineStr">
        <is>
          <t>X</t>
        </is>
      </c>
      <c r="D99" s="409" t="n"/>
      <c r="E99" s="409" t="n"/>
      <c r="F99" s="409" t="n"/>
      <c r="G99" s="409" t="n"/>
    </row>
    <row r="100" ht="13.5" customFormat="1" customHeight="1" s="408">
      <c r="A100" s="408">
        <f>LEFT(B100, FIND("-", B100) - 1)</f>
        <v/>
      </c>
      <c r="B100" s="408" t="inlineStr">
        <is>
          <t>LIB-PATRONPPROG</t>
        </is>
      </c>
      <c r="C100" s="409" t="inlineStr">
        <is>
          <t>X</t>
        </is>
      </c>
      <c r="D100" s="409" t="n"/>
      <c r="E100" s="409" t="n"/>
      <c r="F100" s="409" t="n"/>
      <c r="G100" s="409" t="n"/>
    </row>
    <row r="101" ht="13.5" customFormat="1" customHeight="1" s="408">
      <c r="A101" s="408">
        <f>LEFT(B101, FIND("-", B101) - 1)</f>
        <v/>
      </c>
      <c r="B101" s="408" t="inlineStr">
        <is>
          <t>LIB-PROGATTEND</t>
        </is>
      </c>
      <c r="C101" s="409" t="inlineStr">
        <is>
          <t>X</t>
        </is>
      </c>
      <c r="D101" s="409" t="n"/>
      <c r="E101" s="409" t="n"/>
      <c r="F101" s="409" t="n"/>
      <c r="G101" s="409" t="n"/>
    </row>
    <row r="102" ht="13.5" customFormat="1" customHeight="1" s="408">
      <c r="A102" s="408">
        <f>LEFT(B102, FIND("-", B102) - 1)</f>
        <v/>
      </c>
      <c r="B102" s="408" t="inlineStr">
        <is>
          <t>LIB-OUTREACHCON</t>
        </is>
      </c>
      <c r="C102" s="409" t="inlineStr">
        <is>
          <t>X</t>
        </is>
      </c>
      <c r="D102" s="409" t="n"/>
      <c r="E102" s="409" t="n"/>
      <c r="F102" s="409" t="n"/>
      <c r="G102" s="409" t="n"/>
    </row>
    <row r="103" ht="13.5" customFormat="1" customHeight="1" s="408">
      <c r="A103" s="408">
        <f>LEFT(B103, FIND("-", B103) - 1)</f>
        <v/>
      </c>
      <c r="B103" s="408" t="inlineStr">
        <is>
          <t>LIB-VISITS</t>
        </is>
      </c>
      <c r="C103" s="409" t="inlineStr">
        <is>
          <t>2020</t>
        </is>
      </c>
      <c r="D103" s="409" t="n"/>
      <c r="E103" s="409" t="n">
        <v>65014</v>
      </c>
      <c r="F103" s="409" t="n">
        <v>71834</v>
      </c>
      <c r="G103" s="409" t="n">
        <v>62464</v>
      </c>
    </row>
    <row r="104" ht="13.5" customFormat="1" customHeight="1" s="408">
      <c r="A104" s="408">
        <f>LEFT(B104, FIND("-", B104) - 1)</f>
        <v/>
      </c>
      <c r="B104" s="408" t="inlineStr">
        <is>
          <t>LIB-VISITS</t>
        </is>
      </c>
      <c r="C104" s="409" t="inlineStr">
        <is>
          <t>2021</t>
        </is>
      </c>
      <c r="D104" s="409" t="n"/>
      <c r="E104" s="409" t="n">
        <v>103774</v>
      </c>
      <c r="F104" s="409" t="n">
        <v>102033</v>
      </c>
      <c r="G104" s="409" t="n">
        <v>88724</v>
      </c>
    </row>
    <row r="105" ht="13.5" customFormat="1" customHeight="1" s="408">
      <c r="A105" s="408">
        <f>LEFT(B105, FIND("-", B105) - 1)</f>
        <v/>
      </c>
      <c r="B105" s="408" t="inlineStr">
        <is>
          <t>LIB-VISITS</t>
        </is>
      </c>
      <c r="C105" s="409" t="inlineStr">
        <is>
          <t>2022</t>
        </is>
      </c>
      <c r="D105" s="409" t="n"/>
      <c r="E105" s="409" t="n">
        <v>211580</v>
      </c>
      <c r="F105" s="409" t="n">
        <v>150513</v>
      </c>
      <c r="G105" s="409" t="n">
        <v>130881</v>
      </c>
    </row>
    <row r="106" ht="13.5" customFormat="1" customHeight="1" s="408">
      <c r="A106" s="408">
        <f>LEFT(B106, FIND("-", B106) - 1)</f>
        <v/>
      </c>
      <c r="B106" s="408" t="inlineStr">
        <is>
          <t>LIB-VISITS</t>
        </is>
      </c>
      <c r="C106" s="409" t="inlineStr">
        <is>
          <t>2023</t>
        </is>
      </c>
      <c r="D106" s="409" t="n"/>
      <c r="E106" s="409" t="n">
        <v>280116</v>
      </c>
      <c r="F106" s="409" t="n">
        <v>173234</v>
      </c>
      <c r="G106" s="409" t="n">
        <v>150638</v>
      </c>
    </row>
    <row r="107" ht="13.5" customFormat="1" customHeight="1" s="408">
      <c r="A107" s="408">
        <f>LEFT(B107, FIND("-", B107) - 1)</f>
        <v/>
      </c>
      <c r="B107" s="408" t="inlineStr">
        <is>
          <t>LIB-VISITS</t>
        </is>
      </c>
      <c r="C107" s="409" t="inlineStr">
        <is>
          <t>2024</t>
        </is>
      </c>
      <c r="D107" s="409" t="n"/>
      <c r="E107" s="409" t="n">
        <v>287958</v>
      </c>
      <c r="F107" s="409" t="n">
        <v>197111</v>
      </c>
      <c r="G107" s="409" t="n">
        <v>171401</v>
      </c>
    </row>
    <row r="108" ht="13.5" customFormat="1" customHeight="1" s="408">
      <c r="A108" s="408">
        <f>LEFT(B108, FIND("-", B108) - 1)</f>
        <v/>
      </c>
      <c r="B108" s="408" t="inlineStr">
        <is>
          <t>LIB-VISITS</t>
        </is>
      </c>
      <c r="C108" s="409" t="inlineStr">
        <is>
          <t>2025</t>
        </is>
      </c>
      <c r="D108" s="409" t="n"/>
      <c r="E108" s="409" t="n">
        <v>293189</v>
      </c>
      <c r="F108" s="409" t="n">
        <v>201250</v>
      </c>
      <c r="G108" s="409" t="n">
        <v>175000</v>
      </c>
    </row>
    <row r="109" ht="13.5" customFormat="1" customHeight="1" s="410">
      <c r="A109" s="410">
        <f>LEFT(B109, FIND("-", B109) - 1)</f>
        <v/>
      </c>
      <c r="B109" s="410" t="inlineStr">
        <is>
          <t>PIO-ENGRATE</t>
        </is>
      </c>
      <c r="C109" s="411" t="inlineStr">
        <is>
          <t>2021</t>
        </is>
      </c>
      <c r="D109" s="411" t="inlineStr">
        <is>
          <t>Instagram</t>
        </is>
      </c>
      <c r="E109" s="411" t="n">
        <v>4.11</v>
      </c>
      <c r="F109" s="411" t="n">
        <v>5.9</v>
      </c>
      <c r="G109" s="411" t="n">
        <v>2.6</v>
      </c>
    </row>
    <row r="110" ht="13.5" customFormat="1" customHeight="1" s="410">
      <c r="A110" s="410">
        <f>LEFT(B110, FIND("-", B110) - 1)</f>
        <v/>
      </c>
      <c r="B110" s="410" t="inlineStr">
        <is>
          <t>PIO-ENGRATE</t>
        </is>
      </c>
      <c r="C110" s="411" t="inlineStr">
        <is>
          <t>2022</t>
        </is>
      </c>
      <c r="D110" s="411" t="inlineStr">
        <is>
          <t>Instagram</t>
        </is>
      </c>
      <c r="E110" s="411" t="n">
        <v>4.2</v>
      </c>
      <c r="F110" s="411" t="n">
        <v>5.9</v>
      </c>
      <c r="G110" s="411" t="n">
        <v>2.6</v>
      </c>
    </row>
    <row r="111" ht="13.5" customFormat="1" customHeight="1" s="410">
      <c r="A111" s="410">
        <f>LEFT(B111, FIND("-", B111) - 1)</f>
        <v/>
      </c>
      <c r="B111" s="410" t="inlineStr">
        <is>
          <t>PIO-ENGRATE</t>
        </is>
      </c>
      <c r="C111" s="411" t="inlineStr">
        <is>
          <t>2023</t>
        </is>
      </c>
      <c r="D111" s="411" t="inlineStr">
        <is>
          <t>Instagram</t>
        </is>
      </c>
      <c r="E111" s="411" t="n">
        <v>5.1</v>
      </c>
      <c r="F111" s="411" t="n">
        <v>5.9</v>
      </c>
      <c r="G111" s="411" t="n">
        <v>2.6</v>
      </c>
    </row>
    <row r="112" ht="13.5" customFormat="1" customHeight="1" s="410">
      <c r="A112" s="410">
        <f>LEFT(B112, FIND("-", B112) - 1)</f>
        <v/>
      </c>
      <c r="B112" s="410" t="inlineStr">
        <is>
          <t>PIO-ENGRATE</t>
        </is>
      </c>
      <c r="C112" s="411" t="inlineStr">
        <is>
          <t>2024</t>
        </is>
      </c>
      <c r="D112" s="411" t="inlineStr">
        <is>
          <t>Instagram</t>
        </is>
      </c>
      <c r="E112" s="411" t="n">
        <v>5.7</v>
      </c>
      <c r="F112" s="411" t="n">
        <v>5.9</v>
      </c>
      <c r="G112" s="411" t="n">
        <v>2.6</v>
      </c>
    </row>
    <row r="113" ht="13.5" customFormat="1" customHeight="1" s="410">
      <c r="A113" s="410">
        <f>LEFT(B113, FIND("-", B113) - 1)</f>
        <v/>
      </c>
      <c r="B113" s="410" t="inlineStr">
        <is>
          <t>PIO-ENGRATE</t>
        </is>
      </c>
      <c r="C113" s="411" t="inlineStr">
        <is>
          <t>2025</t>
        </is>
      </c>
      <c r="D113" s="411" t="inlineStr">
        <is>
          <t>Instagram</t>
        </is>
      </c>
      <c r="E113" s="411" t="n">
        <v>3.5</v>
      </c>
      <c r="F113" s="411" t="n">
        <v>3.5</v>
      </c>
      <c r="G113" s="411" t="n">
        <v>3.5</v>
      </c>
    </row>
    <row r="114" ht="13.5" customFormat="1" customHeight="1" s="410">
      <c r="A114" s="410">
        <f>LEFT(B114, FIND("-", B114) - 1)</f>
        <v/>
      </c>
      <c r="B114" s="410" t="inlineStr">
        <is>
          <t>PIO-ENGRATE</t>
        </is>
      </c>
      <c r="C114" s="411" t="inlineStr">
        <is>
          <t>2021</t>
        </is>
      </c>
      <c r="D114" s="411" t="inlineStr">
        <is>
          <t>Facebook</t>
        </is>
      </c>
      <c r="E114" s="411" t="n">
        <v>8.4</v>
      </c>
      <c r="F114" s="411" t="n">
        <v>6.5</v>
      </c>
      <c r="G114" s="411" t="n">
        <v>2.5</v>
      </c>
    </row>
    <row r="115" ht="13.5" customFormat="1" customHeight="1" s="410">
      <c r="A115" s="410">
        <f>LEFT(B115, FIND("-", B115) - 1)</f>
        <v/>
      </c>
      <c r="B115" s="410" t="inlineStr">
        <is>
          <t>PIO-ENGRATE</t>
        </is>
      </c>
      <c r="C115" s="411" t="inlineStr">
        <is>
          <t>2022</t>
        </is>
      </c>
      <c r="D115" s="411" t="inlineStr">
        <is>
          <t>Facebook</t>
        </is>
      </c>
      <c r="E115" s="411" t="n">
        <v>6.9</v>
      </c>
      <c r="F115" s="411" t="n">
        <v>6.5</v>
      </c>
      <c r="G115" s="411" t="n">
        <v>2.5</v>
      </c>
    </row>
    <row r="116" ht="13.5" customFormat="1" customHeight="1" s="410">
      <c r="A116" s="410">
        <f>LEFT(B116, FIND("-", B116) - 1)</f>
        <v/>
      </c>
      <c r="B116" s="410" t="inlineStr">
        <is>
          <t>PIO-ENGRATE</t>
        </is>
      </c>
      <c r="C116" s="411" t="inlineStr">
        <is>
          <t>2023</t>
        </is>
      </c>
      <c r="D116" s="411" t="inlineStr">
        <is>
          <t>Facebook</t>
        </is>
      </c>
      <c r="E116" s="411" t="n">
        <v>7.7</v>
      </c>
      <c r="F116" s="411" t="n">
        <v>6.5</v>
      </c>
      <c r="G116" s="411" t="n">
        <v>2.5</v>
      </c>
    </row>
    <row r="117" ht="13.5" customFormat="1" customHeight="1" s="410">
      <c r="A117" s="410">
        <f>LEFT(B117, FIND("-", B117) - 1)</f>
        <v/>
      </c>
      <c r="B117" s="410" t="inlineStr">
        <is>
          <t>PIO-ENGRATE</t>
        </is>
      </c>
      <c r="C117" s="411" t="inlineStr">
        <is>
          <t>2024</t>
        </is>
      </c>
      <c r="D117" s="411" t="inlineStr">
        <is>
          <t>Facebook</t>
        </is>
      </c>
      <c r="E117" s="411" t="n">
        <v>6.3</v>
      </c>
      <c r="F117" s="411" t="n">
        <v>6.5</v>
      </c>
      <c r="G117" s="411" t="n">
        <v>2.5</v>
      </c>
    </row>
    <row r="118" ht="13.5" customFormat="1" customHeight="1" s="410">
      <c r="A118" s="410">
        <f>LEFT(B118, FIND("-", B118) - 1)</f>
        <v/>
      </c>
      <c r="B118" s="410" t="inlineStr">
        <is>
          <t>PIO-ENGRATE</t>
        </is>
      </c>
      <c r="C118" s="411" t="inlineStr">
        <is>
          <t>2025</t>
        </is>
      </c>
      <c r="D118" s="411" t="inlineStr">
        <is>
          <t>Facebook</t>
        </is>
      </c>
      <c r="E118" s="411" t="n">
        <v>7.9</v>
      </c>
      <c r="F118" s="411" t="n">
        <v>6.5</v>
      </c>
      <c r="G118" s="411" t="n">
        <v>3.2</v>
      </c>
    </row>
    <row r="119" ht="13.5" customFormat="1" customHeight="1" s="410">
      <c r="A119" s="410">
        <f>LEFT(B119, FIND("-", B119) - 1)</f>
        <v/>
      </c>
      <c r="B119" s="410" t="inlineStr">
        <is>
          <t>PIO-ENGRATE</t>
        </is>
      </c>
      <c r="C119" s="411" t="inlineStr">
        <is>
          <t>2023</t>
        </is>
      </c>
      <c r="D119" s="411" t="inlineStr">
        <is>
          <t>TikTok</t>
        </is>
      </c>
      <c r="E119" s="411" t="n">
        <v>3.7</v>
      </c>
      <c r="F119" s="411" t="n">
        <v>4.7</v>
      </c>
      <c r="G119" s="411" t="n">
        <v>1.6</v>
      </c>
    </row>
    <row r="120" ht="13.5" customFormat="1" customHeight="1" s="410">
      <c r="A120" s="410">
        <f>LEFT(B120, FIND("-", B120) - 1)</f>
        <v/>
      </c>
      <c r="B120" s="410" t="inlineStr">
        <is>
          <t>PIO-ENGRATE</t>
        </is>
      </c>
      <c r="C120" s="411" t="inlineStr">
        <is>
          <t>2024</t>
        </is>
      </c>
      <c r="D120" s="411" t="inlineStr">
        <is>
          <t>TikTok</t>
        </is>
      </c>
      <c r="E120" s="411" t="n">
        <v>4.6</v>
      </c>
      <c r="F120" s="411" t="n">
        <v>4.7</v>
      </c>
      <c r="G120" s="411" t="n">
        <v>1.6</v>
      </c>
    </row>
    <row r="121" ht="13.5" customFormat="1" customHeight="1" s="410">
      <c r="A121" s="410">
        <f>LEFT(B121, FIND("-", B121) - 1)</f>
        <v/>
      </c>
      <c r="B121" s="410" t="inlineStr">
        <is>
          <t>PIO-ENGRATE</t>
        </is>
      </c>
      <c r="C121" s="411" t="inlineStr">
        <is>
          <t>2025</t>
        </is>
      </c>
      <c r="D121" s="411" t="inlineStr">
        <is>
          <t>TikTok</t>
        </is>
      </c>
      <c r="E121" s="411" t="n">
        <v>5.4</v>
      </c>
      <c r="F121" s="411" t="n">
        <v>4.7</v>
      </c>
      <c r="G121" s="411" t="n">
        <v>1.6</v>
      </c>
    </row>
    <row r="122" ht="13.5" customFormat="1" customHeight="1" s="410">
      <c r="A122" s="410">
        <f>LEFT(B122, FIND("-", B122) - 1)</f>
        <v/>
      </c>
      <c r="B122" s="383" t="inlineStr">
        <is>
          <t>PIO-SEECLICKFIX</t>
        </is>
      </c>
      <c r="C122" s="412" t="n"/>
      <c r="D122" s="412" t="n"/>
      <c r="E122" s="412" t="n"/>
      <c r="F122" s="411" t="n">
        <v>15</v>
      </c>
      <c r="G122" s="411" t="n"/>
    </row>
    <row r="123" ht="13.5" customFormat="1" customHeight="1" s="410">
      <c r="A123" s="410">
        <f>LEFT(B123, FIND("-", B123) - 1)</f>
        <v/>
      </c>
      <c r="B123" s="383" t="inlineStr">
        <is>
          <t>PIO-VIEWERSHIP</t>
        </is>
      </c>
      <c r="C123" s="412" t="n"/>
      <c r="D123" s="412" t="n"/>
      <c r="E123" s="412" t="n"/>
      <c r="F123" s="412" t="inlineStr">
        <is>
          <t>maintain</t>
        </is>
      </c>
      <c r="G123" s="411" t="n">
        <v>1115176</v>
      </c>
    </row>
    <row r="124" ht="13.5" customFormat="1" customHeight="1" s="410">
      <c r="A124" s="410">
        <f>LEFT(B124, FIND("-", B124) - 1)</f>
        <v/>
      </c>
      <c r="B124" s="383" t="inlineStr">
        <is>
          <t>PIO-AUDIENCEGROWTH</t>
        </is>
      </c>
      <c r="C124" s="412" t="n"/>
      <c r="D124" s="411" t="inlineStr">
        <is>
          <t>Facebook</t>
        </is>
      </c>
      <c r="E124" s="412" t="n"/>
      <c r="F124" s="411" t="n">
        <v>2</v>
      </c>
      <c r="G124" s="411" t="n">
        <v>1.38</v>
      </c>
    </row>
    <row r="125" ht="13.5" customFormat="1" customHeight="1" s="410">
      <c r="A125" s="410">
        <f>LEFT(B125, FIND("-", B125) - 1)</f>
        <v/>
      </c>
      <c r="B125" s="383" t="inlineStr">
        <is>
          <t>PIO-AUDIENCEGROWTH</t>
        </is>
      </c>
      <c r="C125" s="412" t="n"/>
      <c r="D125" s="411" t="inlineStr">
        <is>
          <t>Instagram</t>
        </is>
      </c>
      <c r="E125" s="412" t="n"/>
      <c r="F125" s="411" t="n">
        <v>2.5</v>
      </c>
      <c r="G125" s="411" t="n">
        <v>2.17</v>
      </c>
    </row>
    <row r="126" ht="13.5" customFormat="1" customHeight="1" s="410">
      <c r="A126" s="410">
        <f>LEFT(B126, FIND("-", B126) - 1)</f>
        <v/>
      </c>
      <c r="B126" s="383" t="inlineStr">
        <is>
          <t>PIO-AUDIENCEGROWTH</t>
        </is>
      </c>
      <c r="C126" s="412" t="n"/>
      <c r="D126" s="411" t="inlineStr">
        <is>
          <t>TikTok</t>
        </is>
      </c>
      <c r="E126" s="412" t="n"/>
      <c r="F126" s="411" t="n">
        <v>1</v>
      </c>
      <c r="G126" s="411" t="n">
        <v>0.07000000000000001</v>
      </c>
    </row>
    <row r="127" ht="12.75" customFormat="1" customHeight="1" s="413">
      <c r="A127" s="413">
        <f>LEFT(B127, FIND("-", B127) - 1)</f>
        <v/>
      </c>
      <c r="B127" s="413" t="inlineStr">
        <is>
          <t>TRAN-VACRATE</t>
        </is>
      </c>
      <c r="C127" s="414" t="n"/>
      <c r="D127" s="414" t="n"/>
      <c r="E127" s="414" t="n"/>
      <c r="F127" s="414" t="n"/>
      <c r="G127" s="414" t="n"/>
    </row>
    <row r="128" ht="12.75" customFormat="1" customHeight="1" s="413">
      <c r="A128" s="413">
        <f>LEFT(B128, FIND("-", B128) - 1)</f>
        <v/>
      </c>
      <c r="B128" s="413" t="inlineStr">
        <is>
          <t>TRAN-COMPSCORE</t>
        </is>
      </c>
      <c r="C128" s="414" t="n"/>
      <c r="D128" s="414" t="n"/>
      <c r="E128" s="414" t="n"/>
      <c r="F128" s="414" t="n"/>
      <c r="G128" s="414" t="n">
        <v>95</v>
      </c>
    </row>
    <row r="129" ht="12.75" customFormat="1" customHeight="1" s="413">
      <c r="A129" s="413">
        <f>LEFT(B129, FIND("-", B129) - 1)</f>
        <v/>
      </c>
      <c r="B129" s="413" t="inlineStr">
        <is>
          <t>TRAN-CITATIONCLOSE</t>
        </is>
      </c>
      <c r="C129" s="414" t="n"/>
      <c r="D129" s="414" t="n"/>
      <c r="E129" s="414" t="n"/>
      <c r="F129" s="414" t="n"/>
      <c r="G129" s="414" t="n"/>
    </row>
    <row r="130" ht="12.75" customFormat="1" customHeight="1" s="413">
      <c r="A130" s="413">
        <f>LEFT(B130, FIND("-", B130) - 1)</f>
        <v/>
      </c>
      <c r="B130" s="413" t="inlineStr">
        <is>
          <t>TRAN-WINDSHIELDRATE</t>
        </is>
      </c>
      <c r="C130" s="414" t="n"/>
      <c r="D130" s="414" t="n"/>
      <c r="E130" s="414" t="n"/>
      <c r="F130" s="414" t="n"/>
      <c r="G130" s="414" t="n"/>
    </row>
    <row r="131" ht="12.75" customFormat="1" customHeight="1" s="413">
      <c r="A131" s="413">
        <f>LEFT(B131, FIND("-", B131) - 1)</f>
        <v/>
      </c>
      <c r="B131" s="413" t="inlineStr">
        <is>
          <t>TRAN-BIKEPEDCOUNT</t>
        </is>
      </c>
      <c r="C131" s="414" t="n"/>
      <c r="D131" s="414" t="n"/>
      <c r="E131" s="414" t="n"/>
      <c r="F131" s="414" t="n"/>
      <c r="G131" s="414" t="n"/>
    </row>
    <row r="132" ht="12.75" customFormat="1" customHeight="1" s="413">
      <c r="A132" s="413">
        <f>LEFT(B132, FIND("-", B132) - 1)</f>
        <v/>
      </c>
      <c r="B132" s="413" t="inlineStr">
        <is>
          <t>TRAN-CRASHDATA</t>
        </is>
      </c>
      <c r="C132" s="414" t="inlineStr">
        <is>
          <t>2020</t>
        </is>
      </c>
      <c r="D132" s="414" t="n"/>
      <c r="E132" s="414" t="n">
        <v>21</v>
      </c>
      <c r="F132" s="414" t="n"/>
      <c r="G132" s="414" t="n">
        <v>40.5</v>
      </c>
      <c r="H132" s="414" t="inlineStr">
        <is>
          <t>Unusually low due to COVID restrictions; most people stayed home instead of driving</t>
        </is>
      </c>
    </row>
    <row r="133" ht="12.75" customFormat="1" customHeight="1" s="413">
      <c r="A133" s="413">
        <f>LEFT(B133, FIND("-", B133) - 1)</f>
        <v/>
      </c>
      <c r="B133" s="413" t="inlineStr">
        <is>
          <t>TRAN-BIKEANDSWLINFT</t>
        </is>
      </c>
      <c r="C133" s="414" t="n"/>
      <c r="D133" s="414" t="n"/>
      <c r="E133" s="414" t="n"/>
      <c r="F133" s="414" t="n"/>
      <c r="G133" s="414" t="n"/>
    </row>
    <row r="134" ht="12.75" customFormat="1" customHeight="1" s="386">
      <c r="A134" s="386">
        <f>LEFT(B134, FIND("-", B134) - 1)</f>
        <v/>
      </c>
      <c r="B134" s="386" t="inlineStr">
        <is>
          <t>PROS-PROP123</t>
        </is>
      </c>
      <c r="F134" s="386">
        <f t="array" ref="F134:F134">IFERROR(_xlfn.xlookup(B2&amp;"|"&amp;(C2-1)&amp;"|"&amp;D2, $B$2:$B$484&amp;"|"&amp;$C$2:$C$484&amp;"|"&amp;$D$2:$D$484, $E$2:$E$484), "")</f>
        <v/>
      </c>
      <c r="G134" s="386" t="n">
        <v>99</v>
      </c>
    </row>
    <row r="135" ht="12.75" customFormat="1" customHeight="1" s="386">
      <c r="A135" s="386">
        <f>LEFT(B135, FIND("-", B135) - 1)</f>
        <v/>
      </c>
      <c r="B135" s="386" t="inlineStr">
        <is>
          <t>PROS-RESBUILPERMIT</t>
        </is>
      </c>
      <c r="F135" s="386">
        <f t="array" ref="F135:F135">IFERROR(_xlfn.xlookup(B3&amp;"|"&amp;(C3-1)&amp;"|"&amp;D3, $B$2:$B$484&amp;"|"&amp;$C$2:$C$484&amp;"|"&amp;$D$2:$D$484, $E$2:$E$484), "")</f>
        <v/>
      </c>
      <c r="G135" s="386" t="n">
        <v>606</v>
      </c>
    </row>
    <row r="136" ht="15" customHeight="1" s="210">
      <c r="A136" s="386">
        <f>LEFT(B136, FIND("-", B136) - 1)</f>
        <v/>
      </c>
      <c r="B136" s="386" t="inlineStr">
        <is>
          <t>PROS-REGULATEDUNITS</t>
        </is>
      </c>
      <c r="C136" s="415" t="inlineStr">
        <is>
          <t>2016</t>
        </is>
      </c>
      <c r="D136" s="416" t="n"/>
      <c r="E136" s="416" t="n">
        <v>516</v>
      </c>
      <c r="F136" s="416" t="n"/>
      <c r="G136" s="416" t="n"/>
      <c r="H136" s="417" t="n"/>
    </row>
    <row r="137" ht="12.75" customFormat="1" customHeight="1" s="386">
      <c r="A137" s="386">
        <f>LEFT(B137, FIND("-", B137) - 1)</f>
        <v/>
      </c>
      <c r="B137" s="386" t="inlineStr">
        <is>
          <t>PROS-GRANTAWARDED</t>
        </is>
      </c>
      <c r="F137" s="386" t="n">
        <v>96</v>
      </c>
    </row>
    <row r="138" ht="12.75" customFormat="1" customHeight="1" s="386">
      <c r="A138" s="386">
        <f>LEFT(B138, FIND("-", B138) - 1)</f>
        <v/>
      </c>
      <c r="B138" s="386" t="inlineStr">
        <is>
          <t>PROS-LOCALSPEND</t>
        </is>
      </c>
      <c r="C138" s="386" t="inlineStr">
        <is>
          <t>2026</t>
        </is>
      </c>
      <c r="E138" s="386" t="n">
        <v>121350.25</v>
      </c>
      <c r="F138" s="386" t="n">
        <v>368438</v>
      </c>
      <c r="H138" s="386" t="inlineStr">
        <is>
          <t>Year to date as of Oct 15, 2026; 2026 grant reimbursements are still coming in</t>
        </is>
      </c>
    </row>
    <row r="139" ht="12.75" customFormat="1" customHeight="1" s="386">
      <c r="A139" s="386">
        <f>LEFT(B139, FIND("-", B139) - 1)</f>
        <v/>
      </c>
      <c r="B139" s="386" t="inlineStr">
        <is>
          <t>PROS-URAINCOME</t>
        </is>
      </c>
    </row>
    <row r="140" ht="12.75" customFormat="1" customHeight="1" s="386">
      <c r="A140" s="386">
        <f>LEFT(B140, FIND("-", B140) - 1)</f>
        <v/>
      </c>
      <c r="B140" s="386" t="inlineStr">
        <is>
          <t>PROS-OCCRATE</t>
        </is>
      </c>
      <c r="F140" s="386" t="n">
        <v>65</v>
      </c>
    </row>
    <row r="141" ht="12.75" customFormat="1" customHeight="1" s="386">
      <c r="A141" s="386">
        <f>LEFT(B141, FIND("-", B141) - 1)</f>
        <v/>
      </c>
      <c r="B141" s="386" t="inlineStr">
        <is>
          <t>PROS-VISITORSPEND</t>
        </is>
      </c>
      <c r="F141" s="386">
        <f t="array" ref="F141:F141">IFERROR(_xlfn.xlookup(B3&amp;"|"&amp;(C3-1)&amp;"|"&amp;D3, $B$2:$B$484&amp;"|"&amp;$C$2:$C$484&amp;"|"&amp;$D$2:$D$484, $E$2:$E$484) * 1.01, "")</f>
        <v/>
      </c>
    </row>
    <row r="142" ht="12.75" customFormat="1" customHeight="1" s="386">
      <c r="A142" s="386">
        <f>LEFT(B142, FIND("-", B142) - 1)</f>
        <v/>
      </c>
      <c r="B142" s="386" t="inlineStr">
        <is>
          <t>PROS-NIGHTONTOUR</t>
        </is>
      </c>
      <c r="C142" s="386" t="inlineStr">
        <is>
          <t>2026</t>
        </is>
      </c>
      <c r="E142" s="386" t="n">
        <v>1949</v>
      </c>
      <c r="F142" s="386" t="n">
        <v>1000</v>
      </c>
      <c r="H142" s="386" t="inlineStr">
        <is>
          <t>Estimate as of Oct 21, 2026: nights already stayed plus nights booked for later stays (e.g., Model A Ford Club, June 2027)</t>
        </is>
      </c>
    </row>
    <row r="143" ht="12.75" customFormat="1" customHeight="1" s="386">
      <c r="A143" s="386">
        <f>LEFT(B143, FIND("-", B143) - 1)</f>
        <v/>
      </c>
      <c r="B143" s="386" t="inlineStr">
        <is>
          <t>PROS-WELCOMECENT</t>
        </is>
      </c>
      <c r="F143" s="386">
        <f t="array" ref="F143:F143">IFERROR(_xlfn.xlookup(B2&amp;"|"&amp;(C2-1)&amp;"|"&amp;D2, $B$2:$B$484&amp;"|"&amp;$C$2:$C$484&amp;"|"&amp;$D$2:$D$484, $E$2:$E$484) * 1.02, "")</f>
        <v/>
      </c>
    </row>
    <row r="144" ht="12.75" customFormat="1" customHeight="1" s="386">
      <c r="A144" s="386">
        <f>LEFT(B144, FIND("-", B144) - 1)</f>
        <v/>
      </c>
      <c r="B144" s="386" t="inlineStr">
        <is>
          <t>PROS-ALLCOMMEVENTS</t>
        </is>
      </c>
      <c r="F144" s="386" t="n">
        <v>190</v>
      </c>
    </row>
    <row r="145" ht="12.75" customFormat="1" customHeight="1" s="386">
      <c r="A145" s="386">
        <f>LEFT(B145, FIND("-", B145) - 1)</f>
        <v/>
      </c>
      <c r="B145" s="386" t="inlineStr">
        <is>
          <t>PROS-PERMITNUM</t>
        </is>
      </c>
      <c r="F145" s="386" t="n">
        <v>162</v>
      </c>
    </row>
    <row r="146" ht="12.75" customFormat="1" customHeight="1" s="386">
      <c r="A146" s="386">
        <f>LEFT(B146, FIND("-", B146) - 1)</f>
        <v/>
      </c>
      <c r="B146" s="386" t="inlineStr">
        <is>
          <t>PROS-COMMSURVEY</t>
        </is>
      </c>
    </row>
    <row r="147" ht="12.75" customFormat="1" customHeight="1" s="378">
      <c r="A147" s="378">
        <f>LEFT(B147, FIND("-", B147) - 1)</f>
        <v/>
      </c>
      <c r="B147" s="378" t="inlineStr">
        <is>
          <t>PD-VIOLENTPROPCRIME</t>
        </is>
      </c>
      <c r="C147" s="378" t="inlineStr">
        <is>
          <t>2020</t>
        </is>
      </c>
      <c r="E147" s="378" t="n">
        <v>56</v>
      </c>
      <c r="F147" s="378">
        <f>ROUND(G147*0.9,1)</f>
        <v/>
      </c>
      <c r="G147" s="378" t="n">
        <v>36.4</v>
      </c>
    </row>
    <row r="148" ht="12.75" customFormat="1" customHeight="1" s="378">
      <c r="A148" s="378">
        <f>LEFT(B148, FIND("-", B148) - 1)</f>
        <v/>
      </c>
      <c r="B148" s="378" t="inlineStr">
        <is>
          <t>PD-TRAFFICINJURY</t>
        </is>
      </c>
    </row>
    <row r="149" ht="12.75" customFormat="1" customHeight="1" s="378">
      <c r="A149" s="378">
        <f>LEFT(B149, FIND("-", B149) - 1)</f>
        <v/>
      </c>
      <c r="B149" s="378" t="inlineStr">
        <is>
          <t>PD-FATALCRASH</t>
        </is>
      </c>
    </row>
    <row r="150" ht="12.75" customFormat="1" customHeight="1" s="378">
      <c r="A150" s="378">
        <f>LEFT(B150, FIND("-", B150) - 1)</f>
        <v/>
      </c>
      <c r="B150" s="378" t="inlineStr">
        <is>
          <t>PD-RESPONSETIME</t>
        </is>
      </c>
    </row>
    <row r="151" ht="12.75" customFormat="1" customHeight="1" s="378">
      <c r="A151" s="378">
        <f>LEFT(B151, FIND("-", B151) - 1)</f>
        <v/>
      </c>
      <c r="B151" s="378" t="inlineStr">
        <is>
          <t>PD-CALLVOLUME</t>
        </is>
      </c>
    </row>
    <row r="152" ht="12.75" customFormat="1" customHeight="1" s="378">
      <c r="A152" s="378">
        <f>LEFT(B152, FIND("-", B152) - 1)</f>
        <v/>
      </c>
      <c r="B152" s="378" t="inlineStr">
        <is>
          <t>PD-CRIMECLEARANCE</t>
        </is>
      </c>
    </row>
    <row r="153" ht="12.75" customFormat="1" customHeight="1" s="378">
      <c r="A153" s="378">
        <f>LEFT(B153, FIND("-", B153) - 1)</f>
        <v/>
      </c>
      <c r="B153" s="378" t="inlineStr">
        <is>
          <t>PD-WILDLIFETRENDS</t>
        </is>
      </c>
    </row>
    <row r="154" ht="12.75" customFormat="1" customHeight="1" s="378">
      <c r="A154" s="378">
        <f>LEFT(B154, FIND("-", B154) - 1)</f>
        <v/>
      </c>
      <c r="B154" s="378" t="inlineStr">
        <is>
          <t>PD-COMPLAINTS</t>
        </is>
      </c>
    </row>
    <row r="155" ht="12.75" customFormat="1" customHeight="1" s="378">
      <c r="A155" s="378">
        <f>LEFT(B155, FIND("-", B155) - 1)</f>
        <v/>
      </c>
      <c r="B155" s="378" t="inlineStr">
        <is>
          <t>PD-CITATIONS</t>
        </is>
      </c>
    </row>
    <row r="156" ht="12.75" customFormat="1" customHeight="1" s="378">
      <c r="A156" s="378">
        <f>LEFT(B156, FIND("-", B156) - 1)</f>
        <v/>
      </c>
      <c r="B156" s="378" t="inlineStr">
        <is>
          <t>PD-CORECASES</t>
        </is>
      </c>
    </row>
    <row r="157" ht="12.75" customFormat="1" customHeight="1" s="378">
      <c r="A157" s="378">
        <f>LEFT(B157, FIND("-", B157) - 1)</f>
        <v/>
      </c>
      <c r="B157" s="378" t="inlineStr">
        <is>
          <t>PD-SAFETOTELL</t>
        </is>
      </c>
    </row>
    <row r="158" ht="12.75" customFormat="1" customHeight="1" s="378">
      <c r="A158" s="378">
        <f>LEFT(B158, FIND("-", B158) - 1)</f>
        <v/>
      </c>
      <c r="B158" s="378" t="inlineStr">
        <is>
          <t>PD-INCIDENTS</t>
        </is>
      </c>
    </row>
    <row r="159" ht="12.75" customFormat="1" customHeight="1" s="378">
      <c r="A159" s="378">
        <f>LEFT(B159, FIND("-", B159) - 1)</f>
        <v/>
      </c>
      <c r="B159" s="378" t="inlineStr">
        <is>
          <t>PD-PROACTIVETIME</t>
        </is>
      </c>
    </row>
    <row r="160" ht="12.75" customFormat="1" customHeight="1" s="378">
      <c r="A160" s="378">
        <f>LEFT(B160, FIND("-", B160) - 1)</f>
        <v/>
      </c>
      <c r="B160" s="378" t="inlineStr">
        <is>
          <t>PD-OFFICERINITIATED</t>
        </is>
      </c>
    </row>
    <row r="161" ht="12.75" customFormat="1" customHeight="1" s="378">
      <c r="A161" s="378">
        <f>LEFT(B161, FIND("-", B161) - 1)</f>
        <v/>
      </c>
      <c r="B161" s="378" t="inlineStr">
        <is>
          <t>PD-DUIARRESTS</t>
        </is>
      </c>
    </row>
    <row r="162" ht="12.75" customFormat="1" customHeight="1" s="378">
      <c r="A162" s="378">
        <f>LEFT(B162, FIND("-", B162) - 1)</f>
        <v/>
      </c>
      <c r="B162" s="378" t="inlineStr">
        <is>
          <t>PD-DIGITALFORENSICS</t>
        </is>
      </c>
    </row>
    <row r="163" ht="12.75" customFormat="1" customHeight="1" s="378">
      <c r="A163" s="378">
        <f>LEFT(B163, FIND("-", B163) - 1)</f>
        <v/>
      </c>
      <c r="B163" s="378" t="inlineStr">
        <is>
          <t>PD-CASECLOSURERATE</t>
        </is>
      </c>
    </row>
    <row r="164" ht="12.75" customFormat="1" customHeight="1" s="378">
      <c r="A164" s="378">
        <f>LEFT(B164, FIND("-", B164) - 1)</f>
        <v/>
      </c>
      <c r="B164" s="378" t="inlineStr">
        <is>
          <t>PD-FELONYREVIEWS</t>
        </is>
      </c>
    </row>
    <row r="165" ht="12.75" customFormat="1" customHeight="1" s="378">
      <c r="A165" s="378">
        <f>LEFT(B165, FIND("-", B165) - 1)</f>
        <v/>
      </c>
      <c r="B165" s="378" t="inlineStr">
        <is>
          <t>PD-CORAREQEUESTS</t>
        </is>
      </c>
    </row>
    <row r="166" ht="12.75" customFormat="1" customHeight="1" s="378">
      <c r="A166" s="378">
        <f>LEFT(B166, FIND("-", B166) - 1)</f>
        <v/>
      </c>
      <c r="B166" s="378" t="inlineStr">
        <is>
          <t>PD-EVIDENCEFORDA</t>
        </is>
      </c>
    </row>
    <row r="167" ht="12.75" customFormat="1" customHeight="1" s="378">
      <c r="A167" s="378">
        <f>LEFT(B167, FIND("-", B167) - 1)</f>
        <v/>
      </c>
      <c r="B167" s="378" t="inlineStr">
        <is>
          <t>PD-CASESPROCESSED</t>
        </is>
      </c>
    </row>
    <row r="168" ht="12.75" customFormat="1" customHeight="1" s="378">
      <c r="A168" s="378">
        <f>LEFT(B168, FIND("-", B168) - 1)</f>
        <v/>
      </c>
      <c r="B168" s="378" t="inlineStr">
        <is>
          <t>PD-PROPERTYRECTIME</t>
        </is>
      </c>
    </row>
    <row r="169" ht="12.75" customFormat="1" customHeight="1" s="378">
      <c r="A169" s="378">
        <f>LEFT(B169, FIND("-", B169) - 1)</f>
        <v/>
      </c>
      <c r="B169" s="378" t="inlineStr">
        <is>
          <t>PD-BGROUNDSVHIRED</t>
        </is>
      </c>
    </row>
    <row r="170" ht="12.75" customFormat="1" customHeight="1" s="378">
      <c r="A170" s="378">
        <f>LEFT(B170, FIND("-", B170) - 1)</f>
        <v/>
      </c>
      <c r="B170" s="378" t="inlineStr">
        <is>
          <t>PD-DRONEASAFR</t>
        </is>
      </c>
    </row>
    <row r="171" ht="12.75" customFormat="1" customHeight="1" s="351">
      <c r="A171" s="351">
        <f>LEFT(B171, FIND("-", B171) - 1)</f>
        <v/>
      </c>
      <c r="B171" s="351" t="inlineStr">
        <is>
          <t>911-DISPATCHTIME</t>
        </is>
      </c>
      <c r="C171" s="351" t="inlineStr">
        <is>
          <t>2020</t>
        </is>
      </c>
      <c r="D171" s="351" t="inlineStr">
        <is>
          <t>Within 15 seconds</t>
        </is>
      </c>
      <c r="E171" s="351" t="n">
        <v>99</v>
      </c>
      <c r="F171" s="351" t="n">
        <v>95</v>
      </c>
      <c r="G171" s="351" t="n">
        <v>95</v>
      </c>
    </row>
    <row r="172" ht="12.75" customFormat="1" customHeight="1" s="351">
      <c r="A172" s="351">
        <f>LEFT(B172, FIND("-", B172) - 1)</f>
        <v/>
      </c>
      <c r="B172" s="351" t="inlineStr">
        <is>
          <t>911-QAQC</t>
        </is>
      </c>
    </row>
    <row r="173" ht="12.75" customFormat="1" customHeight="1" s="351">
      <c r="A173" s="351">
        <f>LEFT(B173, FIND("-", B173) - 1)</f>
        <v/>
      </c>
      <c r="B173" s="351" t="inlineStr">
        <is>
          <t>911-NFPADROPTIME</t>
        </is>
      </c>
    </row>
    <row r="174" ht="12.75" customFormat="1" customHeight="1" s="351">
      <c r="A174" s="351">
        <f>LEFT(B174, FIND("-", B174) - 1)</f>
        <v/>
      </c>
      <c r="B174" s="351" t="inlineStr">
        <is>
          <t>911-COMPLAINTRES</t>
        </is>
      </c>
    </row>
    <row r="175" ht="12.75" customFormat="1" customHeight="1" s="351">
      <c r="A175" s="351">
        <f>LEFT(B175, FIND("-", B175) - 1)</f>
        <v/>
      </c>
      <c r="B175" s="351" t="inlineStr">
        <is>
          <t>911-COMSATISFACTION</t>
        </is>
      </c>
    </row>
    <row r="176" ht="12.75" customFormat="1" customHeight="1" s="351">
      <c r="A176" s="351">
        <f>LEFT(B176, FIND("-", B176) - 1)</f>
        <v/>
      </c>
      <c r="B176" s="351" t="inlineStr">
        <is>
          <t>911-SERVICEUPTIME</t>
        </is>
      </c>
    </row>
    <row r="177" ht="12.75" customFormat="1" customHeight="1" s="351">
      <c r="A177" s="351">
        <f>LEFT(B177, FIND("-", B177) - 1)</f>
        <v/>
      </c>
      <c r="B177" s="351" t="inlineStr">
        <is>
          <t>911-STAFFING</t>
        </is>
      </c>
    </row>
    <row r="178" ht="15" customHeight="1" s="210">
      <c r="A178" s="386">
        <f>LEFT(B178, FIND("-", B178) - 1)</f>
        <v/>
      </c>
      <c r="B178" s="386" t="inlineStr">
        <is>
          <t>PROS-REGULATEDUNITS</t>
        </is>
      </c>
      <c r="C178" s="415" t="inlineStr">
        <is>
          <t>2015</t>
        </is>
      </c>
      <c r="D178" s="416" t="n"/>
      <c r="E178" s="416" t="n">
        <v>516</v>
      </c>
      <c r="F178" s="416" t="n"/>
      <c r="G178" s="416" t="n"/>
      <c r="H178" s="417" t="n"/>
    </row>
    <row r="179" ht="15" customHeight="1" s="210">
      <c r="A179" s="386">
        <f>LEFT(B179, FIND("-", B179) - 1)</f>
        <v/>
      </c>
      <c r="B179" s="386" t="inlineStr">
        <is>
          <t>PROS-REGULATEDUNITS</t>
        </is>
      </c>
      <c r="C179" s="415" t="inlineStr">
        <is>
          <t>2018</t>
        </is>
      </c>
      <c r="D179" s="416" t="n"/>
      <c r="E179" s="416" t="n">
        <v>552</v>
      </c>
      <c r="F179" s="416" t="n"/>
      <c r="G179" s="416" t="n"/>
      <c r="H179" s="417" t="n"/>
    </row>
    <row r="180" ht="15" customHeight="1" s="210">
      <c r="A180" s="386">
        <f>LEFT(B180, FIND("-", B180) - 1)</f>
        <v/>
      </c>
      <c r="B180" s="386" t="inlineStr">
        <is>
          <t>PROS-REGULATEDUNITS</t>
        </is>
      </c>
      <c r="C180" s="415" t="inlineStr">
        <is>
          <t>2019</t>
        </is>
      </c>
      <c r="D180" s="416" t="n"/>
      <c r="E180" s="416" t="n">
        <v>605</v>
      </c>
      <c r="F180" s="416" t="n"/>
      <c r="G180" s="416" t="n"/>
      <c r="H180" s="417" t="n"/>
    </row>
    <row r="181" ht="15" customHeight="1" s="210">
      <c r="A181" s="386">
        <f>LEFT(B181, FIND("-", B181) - 1)</f>
        <v/>
      </c>
      <c r="B181" s="386" t="inlineStr">
        <is>
          <t>PROS-REGULATEDUNITS</t>
        </is>
      </c>
      <c r="C181" s="415" t="inlineStr">
        <is>
          <t>2021</t>
        </is>
      </c>
      <c r="D181" s="416" t="n"/>
      <c r="E181" s="416" t="n">
        <v>645</v>
      </c>
      <c r="F181" s="416" t="n"/>
      <c r="G181" s="416" t="n"/>
      <c r="H181" s="417" t="n"/>
    </row>
    <row r="182" ht="15" customHeight="1" s="210">
      <c r="A182" s="386">
        <f>LEFT(B182, FIND("-", B182) - 1)</f>
        <v/>
      </c>
      <c r="B182" s="386" t="inlineStr">
        <is>
          <t>PROS-REGULATEDUNITS</t>
        </is>
      </c>
      <c r="C182" s="415" t="inlineStr">
        <is>
          <t>2022</t>
        </is>
      </c>
      <c r="D182" s="416" t="n"/>
      <c r="E182" s="416" t="n">
        <v>654</v>
      </c>
      <c r="F182" s="416" t="n"/>
      <c r="G182" s="416" t="n"/>
      <c r="H182" s="417" t="n"/>
    </row>
    <row r="183" ht="15" customHeight="1" s="210">
      <c r="A183" s="386">
        <f>LEFT(B183, FIND("-", B183) - 1)</f>
        <v/>
      </c>
      <c r="B183" s="386" t="inlineStr">
        <is>
          <t>PROS-REGULATEDUNITS</t>
        </is>
      </c>
      <c r="C183" s="415" t="inlineStr">
        <is>
          <t>2023</t>
        </is>
      </c>
      <c r="D183" s="416" t="n"/>
      <c r="E183" s="416" t="n">
        <v>672</v>
      </c>
      <c r="F183" s="416" t="n"/>
      <c r="G183" s="416" t="n"/>
      <c r="H183" s="417" t="n"/>
    </row>
    <row r="184" ht="15" customHeight="1" s="210">
      <c r="A184" s="386">
        <f>LEFT(B184, FIND("-", B184) - 1)</f>
        <v/>
      </c>
      <c r="B184" s="386" t="inlineStr">
        <is>
          <t>PROS-REGULATEDUNITS</t>
        </is>
      </c>
      <c r="C184" s="415" t="inlineStr">
        <is>
          <t>2024</t>
        </is>
      </c>
      <c r="D184" s="416" t="n"/>
      <c r="E184" s="416" t="n">
        <v>672</v>
      </c>
      <c r="F184" s="416" t="n"/>
      <c r="G184" s="416" t="n"/>
      <c r="H184" s="417" t="n"/>
    </row>
    <row r="185" ht="15" customHeight="1" s="210">
      <c r="A185" s="386">
        <f>LEFT(B185, FIND("-", B185) - 1)</f>
        <v/>
      </c>
      <c r="B185" s="386" t="inlineStr">
        <is>
          <t>PROS-REGULATEDUNITS</t>
        </is>
      </c>
      <c r="C185" s="415" t="inlineStr">
        <is>
          <t>2025</t>
        </is>
      </c>
      <c r="D185" s="416" t="n"/>
      <c r="E185" s="416" t="n">
        <v>792</v>
      </c>
      <c r="F185" s="416" t="n"/>
      <c r="G185" s="416" t="n"/>
      <c r="H185" s="417" t="n"/>
    </row>
    <row r="186" ht="15" customHeight="1" s="210">
      <c r="A186" s="386">
        <f>LEFT(B186, FIND("-", B186) - 1)</f>
        <v/>
      </c>
      <c r="B186" s="386" t="inlineStr">
        <is>
          <t>PROS-REGULATEDUNITS</t>
        </is>
      </c>
      <c r="C186" s="415" t="inlineStr">
        <is>
          <t>2026</t>
        </is>
      </c>
      <c r="D186" s="416" t="n"/>
      <c r="E186" s="416" t="n">
        <v>792</v>
      </c>
      <c r="F186" s="416" t="n"/>
      <c r="G186" s="416" t="n"/>
      <c r="H186" s="417" t="n"/>
    </row>
    <row r="187" ht="15" customHeight="1" s="210">
      <c r="A187" s="390">
        <f>LEFT(B187, FIND("-", B187) - 1)</f>
        <v/>
      </c>
      <c r="B187" s="390" t="inlineStr">
        <is>
          <t>TRAN-BIKEPEDCOUNT</t>
        </is>
      </c>
      <c r="C187" s="415" t="inlineStr">
        <is>
          <t>2009</t>
        </is>
      </c>
      <c r="D187" s="418" t="inlineStr">
        <is>
          <t>E. 2nd Ave. and E. 15th St.</t>
        </is>
      </c>
      <c r="E187" s="208" t="n">
        <v>135.333333333333</v>
      </c>
      <c r="F187" s="416" t="n"/>
      <c r="G187" s="416" t="n"/>
      <c r="H187" s="417" t="n"/>
    </row>
    <row r="188" ht="15" customHeight="1" s="210">
      <c r="A188" s="390">
        <f>LEFT(B188, FIND("-", B188) - 1)</f>
        <v/>
      </c>
      <c r="B188" s="390" t="inlineStr">
        <is>
          <t>TRAN-BIKEPEDCOUNT</t>
        </is>
      </c>
      <c r="C188" s="415" t="inlineStr">
        <is>
          <t>2011</t>
        </is>
      </c>
      <c r="D188" s="418" t="inlineStr">
        <is>
          <t>E. 2nd Ave. and E. 15th St.</t>
        </is>
      </c>
      <c r="E188" s="208" t="n">
        <v>117.666666666667</v>
      </c>
      <c r="F188" s="416" t="n"/>
      <c r="G188" s="416" t="n"/>
      <c r="H188" s="417" t="n"/>
    </row>
    <row r="189" ht="15" customHeight="1" s="210">
      <c r="A189" s="390">
        <f>LEFT(B189, FIND("-", B189) - 1)</f>
        <v/>
      </c>
      <c r="B189" s="390" t="inlineStr">
        <is>
          <t>TRAN-BIKEPEDCOUNT</t>
        </is>
      </c>
      <c r="C189" s="415" t="inlineStr">
        <is>
          <t>2013</t>
        </is>
      </c>
      <c r="D189" s="418" t="inlineStr">
        <is>
          <t>E. 2nd Ave. and E. 15th St.</t>
        </is>
      </c>
      <c r="E189" s="208" t="n">
        <v>99.5</v>
      </c>
      <c r="F189" s="416" t="n"/>
      <c r="G189" s="416" t="n"/>
      <c r="H189" s="417" t="n"/>
    </row>
    <row r="190" ht="15" customHeight="1" s="210">
      <c r="A190" s="390">
        <f>LEFT(B190, FIND("-", B190) - 1)</f>
        <v/>
      </c>
      <c r="B190" s="390" t="inlineStr">
        <is>
          <t>TRAN-BIKEPEDCOUNT</t>
        </is>
      </c>
      <c r="C190" s="415" t="inlineStr">
        <is>
          <t>2015</t>
        </is>
      </c>
      <c r="D190" s="418" t="inlineStr">
        <is>
          <t>E. 2nd Ave. and E. 15th St.</t>
        </is>
      </c>
      <c r="E190" s="208" t="n">
        <v>142.857142857143</v>
      </c>
      <c r="F190" s="416" t="n"/>
      <c r="G190" s="416" t="n"/>
      <c r="H190" s="417" t="n"/>
    </row>
    <row r="191" ht="15" customHeight="1" s="210">
      <c r="A191" s="390">
        <f>LEFT(B191, FIND("-", B191) - 1)</f>
        <v/>
      </c>
      <c r="B191" s="390" t="inlineStr">
        <is>
          <t>TRAN-BIKEPEDCOUNT</t>
        </is>
      </c>
      <c r="C191" s="415" t="inlineStr">
        <is>
          <t>2017</t>
        </is>
      </c>
      <c r="D191" s="418" t="inlineStr">
        <is>
          <t>E. 2nd Ave. and E. 15th St.</t>
        </is>
      </c>
      <c r="E191" s="208" t="n">
        <v>172.119047619048</v>
      </c>
      <c r="F191" s="416" t="n"/>
      <c r="G191" s="416" t="n"/>
      <c r="H191" s="417" t="n"/>
    </row>
    <row r="192" ht="15" customHeight="1" s="210">
      <c r="A192" s="390">
        <f>LEFT(B192, FIND("-", B192) - 1)</f>
        <v/>
      </c>
      <c r="B192" s="390" t="inlineStr">
        <is>
          <t>TRAN-BIKEPEDCOUNT</t>
        </is>
      </c>
      <c r="C192" s="415" t="inlineStr">
        <is>
          <t>2019</t>
        </is>
      </c>
      <c r="D192" s="418" t="inlineStr">
        <is>
          <t>E. 2nd Ave. and E. 15th St.</t>
        </is>
      </c>
      <c r="E192" s="208" t="n">
        <v>170.269841269841</v>
      </c>
      <c r="F192" s="416" t="n"/>
      <c r="G192" s="416" t="n"/>
      <c r="H192" s="417" t="n"/>
    </row>
    <row r="193" ht="15" customHeight="1" s="210">
      <c r="A193" s="390">
        <f>LEFT(B193, FIND("-", B193) - 1)</f>
        <v/>
      </c>
      <c r="B193" s="390" t="inlineStr">
        <is>
          <t>TRAN-BIKEPEDCOUNT</t>
        </is>
      </c>
      <c r="C193" s="415" t="inlineStr">
        <is>
          <t>2021</t>
        </is>
      </c>
      <c r="D193" s="418" t="inlineStr">
        <is>
          <t>E. 2nd Ave. and E. 15th St.</t>
        </is>
      </c>
      <c r="E193" s="208" t="n">
        <v>205.68253968254</v>
      </c>
      <c r="F193" s="416" t="n"/>
      <c r="G193" s="416" t="n"/>
      <c r="H193" s="417" t="n"/>
    </row>
    <row r="194" ht="15" customHeight="1" s="210">
      <c r="A194" s="390">
        <f>LEFT(B194, FIND("-", B194) - 1)</f>
        <v/>
      </c>
      <c r="B194" s="390" t="inlineStr">
        <is>
          <t>TRAN-BIKEPEDCOUNT</t>
        </is>
      </c>
      <c r="C194" s="415" t="inlineStr">
        <is>
          <t>2023</t>
        </is>
      </c>
      <c r="D194" s="418" t="inlineStr">
        <is>
          <t>E. 2nd Ave. and E. 15th St.</t>
        </is>
      </c>
      <c r="E194" s="208" t="n">
        <v>148</v>
      </c>
      <c r="F194" s="416" t="n"/>
      <c r="G194" s="416" t="n"/>
      <c r="H194" s="417" t="n"/>
    </row>
    <row r="195" ht="15" customHeight="1" s="210">
      <c r="A195" s="390">
        <f>LEFT(B195, FIND("-", B195) - 1)</f>
        <v/>
      </c>
      <c r="B195" s="390" t="inlineStr">
        <is>
          <t>TRAN-BIKEPEDCOUNT</t>
        </is>
      </c>
      <c r="C195" s="415" t="inlineStr">
        <is>
          <t>2025</t>
        </is>
      </c>
      <c r="D195" s="418" t="inlineStr">
        <is>
          <t>E. 2nd Ave. and E. 15th St.</t>
        </is>
      </c>
      <c r="E195" s="208" t="n">
        <v>233</v>
      </c>
      <c r="F195" s="416" t="n"/>
      <c r="G195" s="416" t="n"/>
      <c r="H195" s="417" t="n"/>
    </row>
    <row r="196" ht="27.75" customHeight="1" s="210">
      <c r="A196" s="390">
        <f>LEFT(B196, FIND("-", B196) - 1)</f>
        <v/>
      </c>
      <c r="B196" s="390" t="inlineStr">
        <is>
          <t>TRAN-BIKEPEDCOUNT</t>
        </is>
      </c>
      <c r="C196" s="415" t="inlineStr">
        <is>
          <t>2009</t>
        </is>
      </c>
      <c r="D196" s="417" t="inlineStr">
        <is>
          <t>E. 32nd St. and N. Main Ave.</t>
        </is>
      </c>
      <c r="E196" s="208" t="n">
        <v>102.166666666667</v>
      </c>
      <c r="F196" s="416" t="n"/>
      <c r="G196" s="416" t="n"/>
      <c r="H196" s="417" t="n"/>
    </row>
    <row r="197" ht="27.75" customHeight="1" s="210">
      <c r="A197" s="390">
        <f>LEFT(B197, FIND("-", B197) - 1)</f>
        <v/>
      </c>
      <c r="B197" s="390" t="inlineStr">
        <is>
          <t>TRAN-BIKEPEDCOUNT</t>
        </is>
      </c>
      <c r="C197" s="415" t="inlineStr">
        <is>
          <t>2011</t>
        </is>
      </c>
      <c r="D197" s="417" t="inlineStr">
        <is>
          <t>E. 32nd St. and N. Main Ave.</t>
        </is>
      </c>
      <c r="E197" s="208" t="n">
        <v>117.166666666667</v>
      </c>
      <c r="F197" s="416" t="n"/>
      <c r="G197" s="416" t="n"/>
      <c r="H197" s="417" t="n"/>
    </row>
    <row r="198" ht="27.75" customHeight="1" s="210">
      <c r="A198" s="390">
        <f>LEFT(B198, FIND("-", B198) - 1)</f>
        <v/>
      </c>
      <c r="B198" s="390" t="inlineStr">
        <is>
          <t>TRAN-BIKEPEDCOUNT</t>
        </is>
      </c>
      <c r="C198" s="415" t="inlineStr">
        <is>
          <t>2013</t>
        </is>
      </c>
      <c r="D198" s="417" t="inlineStr">
        <is>
          <t>E. 32nd St. and N. Main Ave.</t>
        </is>
      </c>
      <c r="E198" s="208" t="n">
        <v>83.3333333333333</v>
      </c>
      <c r="F198" s="416" t="n"/>
      <c r="G198" s="416" t="n"/>
      <c r="H198" s="417" t="n"/>
    </row>
    <row r="199" ht="27.75" customHeight="1" s="210">
      <c r="A199" s="390">
        <f>LEFT(B199, FIND("-", B199) - 1)</f>
        <v/>
      </c>
      <c r="B199" s="390" t="inlineStr">
        <is>
          <t>TRAN-BIKEPEDCOUNT</t>
        </is>
      </c>
      <c r="C199" s="415" t="inlineStr">
        <is>
          <t>2015</t>
        </is>
      </c>
      <c r="D199" s="417" t="inlineStr">
        <is>
          <t>E. 32nd St. and N. Main Ave.</t>
        </is>
      </c>
      <c r="E199" s="208" t="n">
        <v>84</v>
      </c>
      <c r="F199" s="416" t="n"/>
      <c r="G199" s="416" t="n"/>
      <c r="H199" s="417" t="n"/>
    </row>
    <row r="200" ht="27.75" customHeight="1" s="210">
      <c r="A200" s="390">
        <f>LEFT(B200, FIND("-", B200) - 1)</f>
        <v/>
      </c>
      <c r="B200" s="390" t="inlineStr">
        <is>
          <t>TRAN-BIKEPEDCOUNT</t>
        </is>
      </c>
      <c r="C200" s="415" t="inlineStr">
        <is>
          <t>2017</t>
        </is>
      </c>
      <c r="D200" s="417" t="inlineStr">
        <is>
          <t>E. 32nd St. and N. Main Ave.</t>
        </is>
      </c>
      <c r="E200" s="208" t="n">
        <v>125.476190476191</v>
      </c>
      <c r="F200" s="416" t="n"/>
      <c r="G200" s="416" t="n"/>
      <c r="H200" s="417" t="n"/>
    </row>
    <row r="201" ht="27.75" customHeight="1" s="210">
      <c r="A201" s="390">
        <f>LEFT(B201, FIND("-", B201) - 1)</f>
        <v/>
      </c>
      <c r="B201" s="390" t="inlineStr">
        <is>
          <t>TRAN-BIKEPEDCOUNT</t>
        </is>
      </c>
      <c r="C201" s="415" t="inlineStr">
        <is>
          <t>2019</t>
        </is>
      </c>
      <c r="D201" s="417" t="inlineStr">
        <is>
          <t>E. 32nd St. and N. Main Ave.</t>
        </is>
      </c>
      <c r="E201" s="208" t="n">
        <v>71.7777777777778</v>
      </c>
      <c r="F201" s="416" t="n"/>
      <c r="G201" s="416" t="n"/>
      <c r="H201" s="417" t="n"/>
    </row>
    <row r="202" ht="27.75" customHeight="1" s="210">
      <c r="A202" s="390">
        <f>LEFT(B202, FIND("-", B202) - 1)</f>
        <v/>
      </c>
      <c r="B202" s="390" t="inlineStr">
        <is>
          <t>TRAN-BIKEPEDCOUNT</t>
        </is>
      </c>
      <c r="C202" s="415" t="inlineStr">
        <is>
          <t>2021</t>
        </is>
      </c>
      <c r="D202" s="417" t="inlineStr">
        <is>
          <t>E. 32nd St. and N. Main Ave.</t>
        </is>
      </c>
      <c r="E202" s="208" t="n">
        <v>88.5416666666667</v>
      </c>
      <c r="F202" s="416" t="n"/>
      <c r="G202" s="416" t="n"/>
      <c r="H202" s="417" t="n"/>
    </row>
    <row r="203" ht="27.75" customHeight="1" s="210">
      <c r="A203" s="390">
        <f>LEFT(B203, FIND("-", B203) - 1)</f>
        <v/>
      </c>
      <c r="B203" s="390" t="inlineStr">
        <is>
          <t>TRAN-BIKEPEDCOUNT</t>
        </is>
      </c>
      <c r="C203" s="415" t="inlineStr">
        <is>
          <t>2023</t>
        </is>
      </c>
      <c r="D203" s="417" t="inlineStr">
        <is>
          <t>E. 32nd St. and N. Main Ave.</t>
        </is>
      </c>
      <c r="E203" s="208" t="n">
        <v>77</v>
      </c>
      <c r="F203" s="416" t="n"/>
      <c r="G203" s="416" t="n"/>
      <c r="H203" s="417" t="n"/>
    </row>
    <row r="204" ht="27.75" customHeight="1" s="210">
      <c r="A204" s="390">
        <f>LEFT(B204, FIND("-", B204) - 1)</f>
        <v/>
      </c>
      <c r="B204" s="390" t="inlineStr">
        <is>
          <t>TRAN-BIKEPEDCOUNT</t>
        </is>
      </c>
      <c r="C204" s="415" t="inlineStr">
        <is>
          <t>2025</t>
        </is>
      </c>
      <c r="D204" s="417" t="inlineStr">
        <is>
          <t>E. 32nd St. and N. Main Ave.</t>
        </is>
      </c>
      <c r="E204" s="208" t="n">
        <v>76</v>
      </c>
      <c r="F204" s="416" t="n"/>
      <c r="G204" s="416" t="n"/>
      <c r="H204" s="417" t="n"/>
    </row>
    <row r="205" ht="15" customHeight="1" s="210">
      <c r="A205" s="390">
        <f>LEFT(B205, FIND("-", B205) - 1)</f>
        <v/>
      </c>
      <c r="B205" s="390" t="inlineStr">
        <is>
          <t>TRAN-BIKEPEDCOUNT</t>
        </is>
      </c>
      <c r="C205" s="415" t="inlineStr">
        <is>
          <t>2009</t>
        </is>
      </c>
      <c r="D205" s="417" t="inlineStr">
        <is>
          <t>CR 250 and Florida Rd.</t>
        </is>
      </c>
      <c r="E205" s="208" t="n">
        <v>54.5</v>
      </c>
      <c r="F205" s="416" t="n"/>
      <c r="G205" s="416" t="n"/>
      <c r="H205" s="417" t="n"/>
    </row>
    <row r="206" ht="15" customHeight="1" s="210">
      <c r="A206" s="390">
        <f>LEFT(B206, FIND("-", B206) - 1)</f>
        <v/>
      </c>
      <c r="B206" s="390" t="inlineStr">
        <is>
          <t>TRAN-BIKEPEDCOUNT</t>
        </is>
      </c>
      <c r="C206" s="415" t="inlineStr">
        <is>
          <t>2011</t>
        </is>
      </c>
      <c r="D206" s="417" t="inlineStr">
        <is>
          <t>CR 250 and Florida Rd.</t>
        </is>
      </c>
      <c r="E206" s="208" t="n">
        <v>58.5</v>
      </c>
      <c r="F206" s="416" t="n"/>
      <c r="G206" s="416" t="n"/>
      <c r="H206" s="417" t="n"/>
    </row>
    <row r="207" ht="15" customHeight="1" s="210">
      <c r="A207" s="390">
        <f>LEFT(B207, FIND("-", B207) - 1)</f>
        <v/>
      </c>
      <c r="B207" s="390" t="inlineStr">
        <is>
          <t>TRAN-BIKEPEDCOUNT</t>
        </is>
      </c>
      <c r="C207" s="415" t="inlineStr">
        <is>
          <t>2013</t>
        </is>
      </c>
      <c r="D207" s="417" t="inlineStr">
        <is>
          <t>CR 250 and Florida Rd.</t>
        </is>
      </c>
      <c r="E207" s="208" t="n">
        <v>63.1666666666667</v>
      </c>
      <c r="F207" s="416" t="n"/>
      <c r="G207" s="416" t="n"/>
      <c r="H207" s="417" t="n"/>
    </row>
    <row r="208" ht="15" customHeight="1" s="210">
      <c r="A208" s="390">
        <f>LEFT(B208, FIND("-", B208) - 1)</f>
        <v/>
      </c>
      <c r="B208" s="390" t="inlineStr">
        <is>
          <t>TRAN-BIKEPEDCOUNT</t>
        </is>
      </c>
      <c r="C208" s="415" t="inlineStr">
        <is>
          <t>2015</t>
        </is>
      </c>
      <c r="D208" s="417" t="inlineStr">
        <is>
          <t>CR 250 and Florida Rd.</t>
        </is>
      </c>
      <c r="E208" s="208" t="n">
        <v>77.1666666666667</v>
      </c>
      <c r="F208" s="416" t="n"/>
      <c r="G208" s="416" t="n"/>
      <c r="H208" s="417" t="n"/>
    </row>
    <row r="209" ht="15" customHeight="1" s="210">
      <c r="A209" s="390">
        <f>LEFT(B209, FIND("-", B209) - 1)</f>
        <v/>
      </c>
      <c r="B209" s="390" t="inlineStr">
        <is>
          <t>TRAN-BIKEPEDCOUNT</t>
        </is>
      </c>
      <c r="C209" s="415" t="inlineStr">
        <is>
          <t>2017</t>
        </is>
      </c>
      <c r="D209" s="417" t="inlineStr">
        <is>
          <t>CR 250 and Florida Rd.</t>
        </is>
      </c>
      <c r="E209" s="208" t="n">
        <v>66.11904761904761</v>
      </c>
      <c r="F209" s="416" t="n"/>
      <c r="G209" s="416" t="n"/>
      <c r="H209" s="417" t="n"/>
    </row>
    <row r="210" ht="15" customHeight="1" s="210">
      <c r="A210" s="390">
        <f>LEFT(B210, FIND("-", B210) - 1)</f>
        <v/>
      </c>
      <c r="B210" s="390" t="inlineStr">
        <is>
          <t>TRAN-BIKEPEDCOUNT</t>
        </is>
      </c>
      <c r="C210" s="415" t="inlineStr">
        <is>
          <t>2019</t>
        </is>
      </c>
      <c r="D210" s="417" t="inlineStr">
        <is>
          <t>CR 250 and Florida Rd.</t>
        </is>
      </c>
      <c r="E210" s="208" t="n">
        <v>82.15873015873019</v>
      </c>
      <c r="F210" s="416" t="n"/>
      <c r="G210" s="416" t="n"/>
      <c r="H210" s="417" t="n"/>
    </row>
    <row r="211" ht="15" customHeight="1" s="210">
      <c r="A211" s="390">
        <f>LEFT(B211, FIND("-", B211) - 1)</f>
        <v/>
      </c>
      <c r="B211" s="390" t="inlineStr">
        <is>
          <t>TRAN-BIKEPEDCOUNT</t>
        </is>
      </c>
      <c r="C211" s="415" t="inlineStr">
        <is>
          <t>2021</t>
        </is>
      </c>
      <c r="D211" s="417" t="inlineStr">
        <is>
          <t>CR 250 and Florida Rd.</t>
        </is>
      </c>
      <c r="E211" s="208" t="n">
        <v>46</v>
      </c>
      <c r="F211" s="416" t="n"/>
      <c r="G211" s="416" t="n"/>
      <c r="H211" s="417" t="n"/>
    </row>
    <row r="212" ht="15" customHeight="1" s="210">
      <c r="A212" s="390">
        <f>LEFT(B212, FIND("-", B212) - 1)</f>
        <v/>
      </c>
      <c r="B212" s="390" t="inlineStr">
        <is>
          <t>TRAN-BIKEPEDCOUNT</t>
        </is>
      </c>
      <c r="C212" s="415" t="inlineStr">
        <is>
          <t>2023</t>
        </is>
      </c>
      <c r="D212" s="417" t="inlineStr">
        <is>
          <t>CR 250 and Florida Rd.</t>
        </is>
      </c>
      <c r="E212" s="208" t="n">
        <v>75</v>
      </c>
      <c r="F212" s="416" t="n"/>
      <c r="G212" s="416" t="n"/>
      <c r="H212" s="417" t="n"/>
    </row>
    <row r="213" ht="15" customHeight="1" s="210">
      <c r="A213" s="390">
        <f>LEFT(B213, FIND("-", B213) - 1)</f>
        <v/>
      </c>
      <c r="B213" s="390" t="inlineStr">
        <is>
          <t>TRAN-BIKEPEDCOUNT</t>
        </is>
      </c>
      <c r="C213" s="415" t="inlineStr">
        <is>
          <t>2025</t>
        </is>
      </c>
      <c r="D213" s="417" t="inlineStr">
        <is>
          <t>CR 250 and Florida Rd.</t>
        </is>
      </c>
      <c r="E213" s="208" t="n">
        <v>75</v>
      </c>
      <c r="F213" s="416" t="n"/>
      <c r="G213" s="416" t="n"/>
      <c r="H213" s="417" t="n"/>
    </row>
    <row r="214" ht="27.75" customHeight="1" s="210">
      <c r="A214" s="390">
        <f>LEFT(B214, FIND("-", B214) - 1)</f>
        <v/>
      </c>
      <c r="B214" s="390" t="inlineStr">
        <is>
          <t>TRAN-BIKEPEDCOUNT</t>
        </is>
      </c>
      <c r="C214" s="415" t="inlineStr">
        <is>
          <t>2009</t>
        </is>
      </c>
      <c r="D214" s="417" t="inlineStr">
        <is>
          <t>E. 3rd Ave./E. 15th St./Florida Rd.</t>
        </is>
      </c>
      <c r="E214" s="208" t="n">
        <v>61.5</v>
      </c>
      <c r="F214" s="416" t="n"/>
      <c r="G214" s="416" t="n"/>
      <c r="H214" s="417" t="n"/>
    </row>
    <row r="215" ht="27.75" customHeight="1" s="210">
      <c r="A215" s="390">
        <f>LEFT(B215, FIND("-", B215) - 1)</f>
        <v/>
      </c>
      <c r="B215" s="390" t="inlineStr">
        <is>
          <t>TRAN-BIKEPEDCOUNT</t>
        </is>
      </c>
      <c r="C215" s="415" t="inlineStr">
        <is>
          <t>2011</t>
        </is>
      </c>
      <c r="D215" s="417" t="inlineStr">
        <is>
          <t>E. 3rd Ave./E. 15th St./Florida Rd.</t>
        </is>
      </c>
      <c r="E215" s="208" t="n">
        <v>114</v>
      </c>
      <c r="F215" s="416" t="n"/>
      <c r="G215" s="416" t="n"/>
      <c r="H215" s="417" t="n"/>
    </row>
    <row r="216" ht="27.75" customHeight="1" s="210">
      <c r="A216" s="390">
        <f>LEFT(B216, FIND("-", B216) - 1)</f>
        <v/>
      </c>
      <c r="B216" s="390" t="inlineStr">
        <is>
          <t>TRAN-BIKEPEDCOUNT</t>
        </is>
      </c>
      <c r="C216" s="415" t="inlineStr">
        <is>
          <t>2013</t>
        </is>
      </c>
      <c r="D216" s="417" t="inlineStr">
        <is>
          <t>E. 3rd Ave./E. 15th St./Florida Rd.</t>
        </is>
      </c>
      <c r="E216" s="208" t="n">
        <v>72.8333333333333</v>
      </c>
      <c r="F216" s="416" t="n"/>
      <c r="G216" s="416" t="n"/>
      <c r="H216" s="417" t="n"/>
    </row>
    <row r="217" ht="27.75" customHeight="1" s="210">
      <c r="A217" s="390">
        <f>LEFT(B217, FIND("-", B217) - 1)</f>
        <v/>
      </c>
      <c r="B217" s="390" t="inlineStr">
        <is>
          <t>TRAN-BIKEPEDCOUNT</t>
        </is>
      </c>
      <c r="C217" s="415" t="inlineStr">
        <is>
          <t>2015</t>
        </is>
      </c>
      <c r="D217" s="417" t="inlineStr">
        <is>
          <t>E. 3rd Ave./E. 15th St./Florida Rd.</t>
        </is>
      </c>
      <c r="E217" s="208" t="n">
        <v>81.8571428571429</v>
      </c>
      <c r="F217" s="416" t="n"/>
      <c r="G217" s="416" t="n"/>
      <c r="H217" s="417" t="n"/>
    </row>
    <row r="218" ht="27.75" customHeight="1" s="210">
      <c r="A218" s="390">
        <f>LEFT(B218, FIND("-", B218) - 1)</f>
        <v/>
      </c>
      <c r="B218" s="390" t="inlineStr">
        <is>
          <t>TRAN-BIKEPEDCOUNT</t>
        </is>
      </c>
      <c r="C218" s="415" t="inlineStr">
        <is>
          <t>2017</t>
        </is>
      </c>
      <c r="D218" s="417" t="inlineStr">
        <is>
          <t>E. 3rd Ave./E. 15th St./Florida Rd.</t>
        </is>
      </c>
      <c r="E218" s="208" t="n">
        <v>101.738095238095</v>
      </c>
      <c r="F218" s="416" t="n"/>
      <c r="G218" s="416" t="n"/>
      <c r="H218" s="417" t="n"/>
    </row>
    <row r="219" ht="27.75" customHeight="1" s="210">
      <c r="A219" s="390">
        <f>LEFT(B219, FIND("-", B219) - 1)</f>
        <v/>
      </c>
      <c r="B219" s="390" t="inlineStr">
        <is>
          <t>TRAN-BIKEPEDCOUNT</t>
        </is>
      </c>
      <c r="C219" s="415" t="inlineStr">
        <is>
          <t>2019</t>
        </is>
      </c>
      <c r="D219" s="417" t="inlineStr">
        <is>
          <t>E. 3rd Ave./E. 15th St./Florida Rd.</t>
        </is>
      </c>
      <c r="E219" s="208" t="n">
        <v>110.650793650794</v>
      </c>
      <c r="F219" s="416" t="n"/>
      <c r="G219" s="416" t="n"/>
      <c r="H219" s="417" t="n"/>
    </row>
    <row r="220" ht="27.75" customHeight="1" s="210">
      <c r="A220" s="390">
        <f>LEFT(B220, FIND("-", B220) - 1)</f>
        <v/>
      </c>
      <c r="B220" s="390" t="inlineStr">
        <is>
          <t>TRAN-BIKEPEDCOUNT</t>
        </is>
      </c>
      <c r="C220" s="415" t="inlineStr">
        <is>
          <t>2021</t>
        </is>
      </c>
      <c r="D220" s="417" t="inlineStr">
        <is>
          <t>E. 3rd Ave./E. 15th St./Florida Rd.</t>
        </is>
      </c>
      <c r="E220" s="208" t="n">
        <v>116.166666666667</v>
      </c>
      <c r="F220" s="416" t="n"/>
      <c r="G220" s="416" t="n"/>
      <c r="H220" s="417" t="n"/>
    </row>
    <row r="221" ht="27.75" customHeight="1" s="210">
      <c r="A221" s="390">
        <f>LEFT(B221, FIND("-", B221) - 1)</f>
        <v/>
      </c>
      <c r="B221" s="390" t="inlineStr">
        <is>
          <t>TRAN-BIKEPEDCOUNT</t>
        </is>
      </c>
      <c r="C221" s="415" t="inlineStr">
        <is>
          <t>2023</t>
        </is>
      </c>
      <c r="D221" s="417" t="inlineStr">
        <is>
          <t>E. 3rd Ave./E. 15th St./Florida Rd.</t>
        </is>
      </c>
      <c r="E221" s="208" t="n">
        <v>105</v>
      </c>
      <c r="F221" s="416" t="n"/>
      <c r="G221" s="416" t="n"/>
      <c r="H221" s="417" t="n"/>
    </row>
    <row r="222" ht="27.75" customHeight="1" s="210">
      <c r="A222" s="390">
        <f>LEFT(B222, FIND("-", B222) - 1)</f>
        <v/>
      </c>
      <c r="B222" s="390" t="inlineStr">
        <is>
          <t>TRAN-BIKEPEDCOUNT</t>
        </is>
      </c>
      <c r="C222" s="415" t="inlineStr">
        <is>
          <t>2025</t>
        </is>
      </c>
      <c r="D222" s="417" t="inlineStr">
        <is>
          <t>E. 3rd Ave./E. 15th St./Florida Rd.</t>
        </is>
      </c>
      <c r="E222" s="208" t="n">
        <v>155</v>
      </c>
      <c r="F222" s="416" t="n"/>
      <c r="G222" s="416" t="n"/>
      <c r="H222" s="417" t="n"/>
    </row>
    <row r="223" ht="15" customHeight="1" s="210">
      <c r="A223" s="390">
        <f>LEFT(B223, FIND("-", B223) - 1)</f>
        <v/>
      </c>
      <c r="B223" s="390" t="inlineStr">
        <is>
          <t>TRAN-BIKEPEDCOUNT</t>
        </is>
      </c>
      <c r="C223" s="415" t="inlineStr">
        <is>
          <t>2009</t>
        </is>
      </c>
      <c r="D223" s="417" t="inlineStr">
        <is>
          <t>W. 3rd St. &amp; W. Park Ave.</t>
        </is>
      </c>
      <c r="E223" s="208" t="n">
        <v>135.333333333333</v>
      </c>
      <c r="F223" s="416" t="n"/>
      <c r="G223" s="416" t="n"/>
      <c r="H223" s="417" t="n"/>
    </row>
    <row r="224" ht="15" customHeight="1" s="210">
      <c r="A224" s="390">
        <f>LEFT(B224, FIND("-", B224) - 1)</f>
        <v/>
      </c>
      <c r="B224" s="390" t="inlineStr">
        <is>
          <t>TRAN-BIKEPEDCOUNT</t>
        </is>
      </c>
      <c r="C224" s="415" t="inlineStr">
        <is>
          <t>2011</t>
        </is>
      </c>
      <c r="D224" s="417" t="inlineStr">
        <is>
          <t>W. 3rd St. &amp; W. Park Ave.</t>
        </is>
      </c>
      <c r="E224" s="208" t="n">
        <v>141.833333333333</v>
      </c>
      <c r="F224" s="416" t="n"/>
      <c r="G224" s="416" t="n"/>
      <c r="H224" s="417" t="n"/>
    </row>
    <row r="225" ht="15" customHeight="1" s="210">
      <c r="A225" s="390">
        <f>LEFT(B225, FIND("-", B225) - 1)</f>
        <v/>
      </c>
      <c r="B225" s="390" t="inlineStr">
        <is>
          <t>TRAN-BIKEPEDCOUNT</t>
        </is>
      </c>
      <c r="C225" s="415" t="inlineStr">
        <is>
          <t>2013</t>
        </is>
      </c>
      <c r="D225" s="417" t="inlineStr">
        <is>
          <t>W. 3rd St. &amp; W. Park Ave.</t>
        </is>
      </c>
      <c r="E225" s="208" t="n">
        <v>157.666666666667</v>
      </c>
      <c r="F225" s="416" t="n"/>
      <c r="G225" s="416" t="n"/>
      <c r="H225" s="417" t="n"/>
    </row>
    <row r="226" ht="15" customHeight="1" s="210">
      <c r="A226" s="390">
        <f>LEFT(B226, FIND("-", B226) - 1)</f>
        <v/>
      </c>
      <c r="B226" s="390" t="inlineStr">
        <is>
          <t>TRAN-BIKEPEDCOUNT</t>
        </is>
      </c>
      <c r="C226" s="415" t="inlineStr">
        <is>
          <t>2015</t>
        </is>
      </c>
      <c r="D226" s="417" t="inlineStr">
        <is>
          <t>W. 3rd St. &amp; W. Park Ave.</t>
        </is>
      </c>
      <c r="E226" s="208" t="n">
        <v>165.428571428571</v>
      </c>
      <c r="F226" s="416" t="n"/>
      <c r="G226" s="416" t="n"/>
      <c r="H226" s="417" t="n"/>
    </row>
    <row r="227" ht="15" customHeight="1" s="210">
      <c r="A227" s="390">
        <f>LEFT(B227, FIND("-", B227) - 1)</f>
        <v/>
      </c>
      <c r="B227" s="390" t="inlineStr">
        <is>
          <t>TRAN-BIKEPEDCOUNT</t>
        </is>
      </c>
      <c r="C227" s="415" t="inlineStr">
        <is>
          <t>2017</t>
        </is>
      </c>
      <c r="D227" s="417" t="inlineStr">
        <is>
          <t>W. 3rd St. &amp; W. Park Ave.</t>
        </is>
      </c>
      <c r="E227" s="208" t="n">
        <v>175.380952380952</v>
      </c>
      <c r="F227" s="416" t="n"/>
      <c r="G227" s="416" t="n"/>
      <c r="H227" s="417" t="n"/>
    </row>
    <row r="228" ht="15" customHeight="1" s="210">
      <c r="A228" s="390">
        <f>LEFT(B228, FIND("-", B228) - 1)</f>
        <v/>
      </c>
      <c r="B228" s="390" t="inlineStr">
        <is>
          <t>TRAN-BIKEPEDCOUNT</t>
        </is>
      </c>
      <c r="C228" s="415" t="inlineStr">
        <is>
          <t>2019</t>
        </is>
      </c>
      <c r="D228" s="417" t="inlineStr">
        <is>
          <t>W. 3rd St. &amp; W. Park Ave.</t>
        </is>
      </c>
      <c r="E228" s="208" t="n">
        <v>156.857142857143</v>
      </c>
      <c r="F228" s="416" t="n"/>
      <c r="G228" s="416" t="n"/>
      <c r="H228" s="417" t="n"/>
    </row>
    <row r="229" ht="15" customHeight="1" s="210">
      <c r="A229" s="390">
        <f>LEFT(B229, FIND("-", B229) - 1)</f>
        <v/>
      </c>
      <c r="B229" s="390" t="inlineStr">
        <is>
          <t>TRAN-BIKEPEDCOUNT</t>
        </is>
      </c>
      <c r="C229" s="415" t="inlineStr">
        <is>
          <t>2021</t>
        </is>
      </c>
      <c r="D229" s="417" t="inlineStr">
        <is>
          <t>W. 3rd St. &amp; W. Park Ave.</t>
        </is>
      </c>
      <c r="E229" s="208" t="n">
        <v>163.587301587302</v>
      </c>
      <c r="F229" s="416" t="n"/>
      <c r="G229" s="416" t="n"/>
      <c r="H229" s="417" t="n"/>
    </row>
    <row r="230" ht="15" customHeight="1" s="210">
      <c r="A230" s="390">
        <f>LEFT(B230, FIND("-", B230) - 1)</f>
        <v/>
      </c>
      <c r="B230" s="390" t="inlineStr">
        <is>
          <t>TRAN-BIKEPEDCOUNT</t>
        </is>
      </c>
      <c r="C230" s="415" t="inlineStr">
        <is>
          <t>2023</t>
        </is>
      </c>
      <c r="D230" s="417" t="inlineStr">
        <is>
          <t>W. 3rd St. &amp; W. Park Ave.</t>
        </is>
      </c>
      <c r="E230" s="208" t="n">
        <v>152</v>
      </c>
      <c r="F230" s="416" t="n"/>
      <c r="G230" s="416" t="n"/>
      <c r="H230" s="417" t="n"/>
    </row>
    <row r="231" ht="15" customHeight="1" s="210">
      <c r="A231" s="390">
        <f>LEFT(B231, FIND("-", B231) - 1)</f>
        <v/>
      </c>
      <c r="B231" s="390" t="inlineStr">
        <is>
          <t>TRAN-BIKEPEDCOUNT</t>
        </is>
      </c>
      <c r="C231" s="415" t="inlineStr">
        <is>
          <t>2025</t>
        </is>
      </c>
      <c r="D231" s="417" t="inlineStr">
        <is>
          <t>W. 3rd St. &amp; W. Park Ave.</t>
        </is>
      </c>
      <c r="E231" s="208" t="n">
        <v>225</v>
      </c>
      <c r="F231" s="416" t="n"/>
      <c r="G231" s="416" t="n"/>
      <c r="H231" s="417" t="n"/>
    </row>
    <row r="232" ht="15" customHeight="1" s="210">
      <c r="A232" s="390">
        <f>LEFT(B232, FIND("-", B232) - 1)</f>
        <v/>
      </c>
      <c r="B232" s="390" t="inlineStr">
        <is>
          <t>TRAN-BIKEPEDCOUNT</t>
        </is>
      </c>
      <c r="C232" s="415" t="inlineStr">
        <is>
          <t>2009</t>
        </is>
      </c>
      <c r="D232" s="417" t="inlineStr">
        <is>
          <t>22nd St. and N. Main Ave.</t>
        </is>
      </c>
      <c r="E232" s="208" t="n">
        <v>95.5</v>
      </c>
      <c r="F232" s="416" t="n"/>
      <c r="G232" s="416" t="n"/>
      <c r="H232" s="417" t="n"/>
    </row>
    <row r="233" ht="15" customHeight="1" s="210">
      <c r="A233" s="390">
        <f>LEFT(B233, FIND("-", B233) - 1)</f>
        <v/>
      </c>
      <c r="B233" s="390" t="inlineStr">
        <is>
          <t>TRAN-BIKEPEDCOUNT</t>
        </is>
      </c>
      <c r="C233" s="415" t="inlineStr">
        <is>
          <t>2011</t>
        </is>
      </c>
      <c r="D233" s="417" t="inlineStr">
        <is>
          <t>22nd St. and N. Main Ave.</t>
        </is>
      </c>
      <c r="E233" s="208" t="n">
        <v>102</v>
      </c>
      <c r="F233" s="416" t="n"/>
      <c r="G233" s="416" t="n"/>
      <c r="H233" s="417" t="n"/>
    </row>
    <row r="234" ht="15" customHeight="1" s="210">
      <c r="A234" s="390">
        <f>LEFT(B234, FIND("-", B234) - 1)</f>
        <v/>
      </c>
      <c r="B234" s="390" t="inlineStr">
        <is>
          <t>TRAN-BIKEPEDCOUNT</t>
        </is>
      </c>
      <c r="C234" s="415" t="inlineStr">
        <is>
          <t>2013</t>
        </is>
      </c>
      <c r="D234" s="417" t="inlineStr">
        <is>
          <t>22nd St. and N. Main Ave.</t>
        </is>
      </c>
      <c r="E234" s="208" t="n">
        <v>98</v>
      </c>
      <c r="F234" s="416" t="n"/>
      <c r="G234" s="416" t="n"/>
      <c r="H234" s="417" t="n"/>
    </row>
    <row r="235" ht="15" customHeight="1" s="210">
      <c r="A235" s="390">
        <f>LEFT(B235, FIND("-", B235) - 1)</f>
        <v/>
      </c>
      <c r="B235" s="390" t="inlineStr">
        <is>
          <t>TRAN-BIKEPEDCOUNT</t>
        </is>
      </c>
      <c r="C235" s="415" t="inlineStr">
        <is>
          <t>2015</t>
        </is>
      </c>
      <c r="D235" s="417" t="inlineStr">
        <is>
          <t>22nd St. and N. Main Ave.</t>
        </is>
      </c>
      <c r="E235" s="208" t="n">
        <v>127.285714285714</v>
      </c>
      <c r="F235" s="416" t="n"/>
      <c r="G235" s="416" t="n"/>
      <c r="H235" s="417" t="n"/>
    </row>
    <row r="236" ht="15" customHeight="1" s="210">
      <c r="A236" s="390">
        <f>LEFT(B236, FIND("-", B236) - 1)</f>
        <v/>
      </c>
      <c r="B236" s="390" t="inlineStr">
        <is>
          <t>TRAN-BIKEPEDCOUNT</t>
        </is>
      </c>
      <c r="C236" s="415" t="inlineStr">
        <is>
          <t>2017</t>
        </is>
      </c>
      <c r="D236" s="417" t="inlineStr">
        <is>
          <t>22nd St. and N. Main Ave.</t>
        </is>
      </c>
      <c r="E236" s="208" t="n">
        <v>72.7619047619048</v>
      </c>
      <c r="F236" s="416" t="n"/>
      <c r="G236" s="416" t="n"/>
      <c r="H236" s="417" t="n"/>
    </row>
    <row r="237" ht="15" customHeight="1" s="210">
      <c r="A237" s="390">
        <f>LEFT(B237, FIND("-", B237) - 1)</f>
        <v/>
      </c>
      <c r="B237" s="390" t="inlineStr">
        <is>
          <t>TRAN-BIKEPEDCOUNT</t>
        </is>
      </c>
      <c r="C237" s="415" t="inlineStr">
        <is>
          <t>2019</t>
        </is>
      </c>
      <c r="D237" s="417" t="inlineStr">
        <is>
          <t>22nd St. and N. Main Ave.</t>
        </is>
      </c>
      <c r="E237" s="208" t="n">
        <v>84.5714285714286</v>
      </c>
      <c r="F237" s="416" t="n"/>
      <c r="G237" s="416" t="n"/>
      <c r="H237" s="417" t="n"/>
    </row>
    <row r="238" ht="15" customHeight="1" s="210">
      <c r="A238" s="390">
        <f>LEFT(B238, FIND("-", B238) - 1)</f>
        <v/>
      </c>
      <c r="B238" s="390" t="inlineStr">
        <is>
          <t>TRAN-BIKEPEDCOUNT</t>
        </is>
      </c>
      <c r="C238" s="415" t="inlineStr">
        <is>
          <t>2021</t>
        </is>
      </c>
      <c r="D238" s="417" t="inlineStr">
        <is>
          <t>22nd St. and N. Main Ave.</t>
        </is>
      </c>
      <c r="E238" s="208" t="n">
        <v>57</v>
      </c>
      <c r="F238" s="416" t="n"/>
      <c r="G238" s="416" t="n"/>
      <c r="H238" s="417" t="n"/>
    </row>
    <row r="239" ht="15" customHeight="1" s="210">
      <c r="A239" s="390">
        <f>LEFT(B239, FIND("-", B239) - 1)</f>
        <v/>
      </c>
      <c r="B239" s="390" t="inlineStr">
        <is>
          <t>TRAN-BIKEPEDCOUNT</t>
        </is>
      </c>
      <c r="C239" s="415" t="inlineStr">
        <is>
          <t>2023</t>
        </is>
      </c>
      <c r="D239" s="417" t="inlineStr">
        <is>
          <t>22nd St. and N. Main Ave.</t>
        </is>
      </c>
      <c r="E239" s="208" t="n">
        <v>60</v>
      </c>
      <c r="F239" s="416" t="n"/>
      <c r="G239" s="416" t="n"/>
      <c r="H239" s="417" t="n"/>
    </row>
    <row r="240" ht="15" customHeight="1" s="210">
      <c r="A240" s="390">
        <f>LEFT(B240, FIND("-", B240) - 1)</f>
        <v/>
      </c>
      <c r="B240" s="390" t="inlineStr">
        <is>
          <t>TRAN-BIKEPEDCOUNT</t>
        </is>
      </c>
      <c r="C240" s="415" t="inlineStr">
        <is>
          <t>2025</t>
        </is>
      </c>
      <c r="D240" s="417" t="inlineStr">
        <is>
          <t>22nd St. and N. Main Ave.</t>
        </is>
      </c>
      <c r="E240" s="208" t="n">
        <v>100</v>
      </c>
      <c r="F240" s="416" t="n"/>
      <c r="G240" s="416" t="n"/>
      <c r="H240" s="417" t="n"/>
    </row>
    <row r="241" ht="15" customHeight="1" s="210">
      <c r="A241" s="390">
        <f>LEFT(B241, FIND("-", B241) - 1)</f>
        <v/>
      </c>
      <c r="B241" s="390" t="inlineStr">
        <is>
          <t>TRAN-BIKEPEDCOUNT</t>
        </is>
      </c>
      <c r="C241" s="415" t="inlineStr">
        <is>
          <t>2009</t>
        </is>
      </c>
      <c r="D241" s="417" t="inlineStr">
        <is>
          <t>Camino del Rio and 9th St.</t>
        </is>
      </c>
      <c r="E241" s="208" t="n">
        <v>136.833333333333</v>
      </c>
      <c r="F241" s="416" t="n"/>
      <c r="G241" s="416" t="n"/>
      <c r="H241" s="417" t="n"/>
    </row>
    <row r="242" ht="15" customHeight="1" s="210">
      <c r="A242" s="390">
        <f>LEFT(B242, FIND("-", B242) - 1)</f>
        <v/>
      </c>
      <c r="B242" s="390" t="inlineStr">
        <is>
          <t>TRAN-BIKEPEDCOUNT</t>
        </is>
      </c>
      <c r="C242" s="415" t="inlineStr">
        <is>
          <t>2011</t>
        </is>
      </c>
      <c r="D242" s="417" t="inlineStr">
        <is>
          <t>Camino del Rio and 9th St.</t>
        </is>
      </c>
      <c r="E242" s="208" t="n">
        <v>133.166666666667</v>
      </c>
      <c r="F242" s="416" t="n"/>
      <c r="G242" s="416" t="n"/>
      <c r="H242" s="417" t="n"/>
    </row>
    <row r="243" ht="15" customHeight="1" s="210">
      <c r="A243" s="390">
        <f>LEFT(B243, FIND("-", B243) - 1)</f>
        <v/>
      </c>
      <c r="B243" s="390" t="inlineStr">
        <is>
          <t>TRAN-BIKEPEDCOUNT</t>
        </is>
      </c>
      <c r="C243" s="415" t="inlineStr">
        <is>
          <t>2013</t>
        </is>
      </c>
      <c r="D243" s="417" t="inlineStr">
        <is>
          <t>Camino del Rio and 9th St.</t>
        </is>
      </c>
      <c r="E243" s="208" t="n">
        <v>137.5</v>
      </c>
      <c r="F243" s="416" t="n"/>
      <c r="G243" s="416" t="n"/>
      <c r="H243" s="417" t="n"/>
    </row>
    <row r="244" ht="15" customHeight="1" s="210">
      <c r="A244" s="390">
        <f>LEFT(B244, FIND("-", B244) - 1)</f>
        <v/>
      </c>
      <c r="B244" s="390" t="inlineStr">
        <is>
          <t>TRAN-BIKEPEDCOUNT</t>
        </is>
      </c>
      <c r="C244" s="415" t="inlineStr">
        <is>
          <t>2015</t>
        </is>
      </c>
      <c r="D244" s="417" t="inlineStr">
        <is>
          <t>Camino del Rio and 9th St.</t>
        </is>
      </c>
      <c r="E244" s="208" t="n">
        <v>165.857142857143</v>
      </c>
      <c r="F244" s="416" t="n"/>
      <c r="G244" s="416" t="n"/>
      <c r="H244" s="417" t="n"/>
    </row>
    <row r="245" ht="15" customHeight="1" s="210">
      <c r="A245" s="390">
        <f>LEFT(B245, FIND("-", B245) - 1)</f>
        <v/>
      </c>
      <c r="B245" s="390" t="inlineStr">
        <is>
          <t>TRAN-BIKEPEDCOUNT</t>
        </is>
      </c>
      <c r="C245" s="415" t="inlineStr">
        <is>
          <t>2017</t>
        </is>
      </c>
      <c r="D245" s="417" t="inlineStr">
        <is>
          <t>Camino del Rio and 9th St.</t>
        </is>
      </c>
      <c r="E245" s="208" t="n">
        <v>152.642857142857</v>
      </c>
      <c r="F245" s="416" t="n"/>
      <c r="G245" s="416" t="n"/>
      <c r="H245" s="417" t="n"/>
    </row>
    <row r="246" ht="15" customHeight="1" s="210">
      <c r="A246" s="390">
        <f>LEFT(B246, FIND("-", B246) - 1)</f>
        <v/>
      </c>
      <c r="B246" s="390" t="inlineStr">
        <is>
          <t>TRAN-BIKEPEDCOUNT</t>
        </is>
      </c>
      <c r="C246" s="415" t="inlineStr">
        <is>
          <t>2019</t>
        </is>
      </c>
      <c r="D246" s="417" t="inlineStr">
        <is>
          <t>Camino del Rio and 9th St.</t>
        </is>
      </c>
      <c r="E246" s="208" t="n">
        <v>166.825396825397</v>
      </c>
      <c r="F246" s="416" t="n"/>
      <c r="G246" s="416" t="n"/>
      <c r="H246" s="417" t="n"/>
    </row>
    <row r="247" ht="15" customHeight="1" s="210">
      <c r="A247" s="390">
        <f>LEFT(B247, FIND("-", B247) - 1)</f>
        <v/>
      </c>
      <c r="B247" s="390" t="inlineStr">
        <is>
          <t>TRAN-BIKEPEDCOUNT</t>
        </is>
      </c>
      <c r="C247" s="415" t="inlineStr">
        <is>
          <t>2021</t>
        </is>
      </c>
      <c r="D247" s="417" t="inlineStr">
        <is>
          <t>Camino del Rio and 9th St.</t>
        </is>
      </c>
      <c r="E247" s="208" t="n">
        <v>113.2</v>
      </c>
      <c r="F247" s="416" t="n"/>
      <c r="G247" s="416" t="n"/>
      <c r="H247" s="417" t="n"/>
    </row>
    <row r="248" ht="15" customHeight="1" s="210">
      <c r="A248" s="390">
        <f>LEFT(B248, FIND("-", B248) - 1)</f>
        <v/>
      </c>
      <c r="B248" s="390" t="inlineStr">
        <is>
          <t>TRAN-BIKEPEDCOUNT</t>
        </is>
      </c>
      <c r="C248" s="415" t="inlineStr">
        <is>
          <t>2023</t>
        </is>
      </c>
      <c r="D248" s="417" t="inlineStr">
        <is>
          <t>Camino del Rio and 9th St.</t>
        </is>
      </c>
      <c r="E248" s="208" t="n">
        <v>118</v>
      </c>
      <c r="F248" s="416" t="n"/>
      <c r="G248" s="416" t="n"/>
      <c r="H248" s="417" t="n"/>
    </row>
    <row r="249" ht="15" customHeight="1" s="210">
      <c r="A249" s="390">
        <f>LEFT(B249, FIND("-", B249) - 1)</f>
        <v/>
      </c>
      <c r="B249" s="390" t="inlineStr">
        <is>
          <t>TRAN-BIKEPEDCOUNT</t>
        </is>
      </c>
      <c r="C249" s="415" t="inlineStr">
        <is>
          <t>2025</t>
        </is>
      </c>
      <c r="D249" s="417" t="inlineStr">
        <is>
          <t>Camino del Rio and 9th St.</t>
        </is>
      </c>
      <c r="E249" s="208" t="n">
        <v>129</v>
      </c>
      <c r="F249" s="416" t="n"/>
      <c r="G249" s="416" t="n"/>
      <c r="H249" s="417" t="n"/>
    </row>
    <row r="250" ht="27.75" customHeight="1" s="210">
      <c r="A250" s="390">
        <f>LEFT(B250, FIND("-", B250) - 1)</f>
        <v/>
      </c>
      <c r="B250" s="390" t="inlineStr">
        <is>
          <t>TRAN-BIKEPEDCOUNT</t>
        </is>
      </c>
      <c r="C250" s="415" t="inlineStr">
        <is>
          <t>2009</t>
        </is>
      </c>
      <c r="D250" s="417" t="inlineStr">
        <is>
          <t>Three Springs Blvd @ Hwy 160</t>
        </is>
      </c>
      <c r="E250" s="208" t="n">
        <v>4.83333333333333</v>
      </c>
      <c r="F250" s="416" t="n"/>
      <c r="G250" s="416" t="n"/>
      <c r="H250" s="417" t="n"/>
    </row>
    <row r="251" ht="27.75" customHeight="1" s="210">
      <c r="A251" s="390">
        <f>LEFT(B251, FIND("-", B251) - 1)</f>
        <v/>
      </c>
      <c r="B251" s="390" t="inlineStr">
        <is>
          <t>TRAN-BIKEPEDCOUNT</t>
        </is>
      </c>
      <c r="C251" s="415" t="inlineStr">
        <is>
          <t>2011</t>
        </is>
      </c>
      <c r="D251" s="417" t="inlineStr">
        <is>
          <t>Three Springs Blvd @ Hwy 160</t>
        </is>
      </c>
      <c r="E251" s="208" t="n">
        <v>2.66666666666667</v>
      </c>
      <c r="F251" s="416" t="n"/>
      <c r="G251" s="416" t="n"/>
      <c r="H251" s="417" t="n"/>
    </row>
    <row r="252" ht="27.75" customHeight="1" s="210">
      <c r="A252" s="390">
        <f>LEFT(B252, FIND("-", B252) - 1)</f>
        <v/>
      </c>
      <c r="B252" s="390" t="inlineStr">
        <is>
          <t>TRAN-BIKEPEDCOUNT</t>
        </is>
      </c>
      <c r="C252" s="415" t="inlineStr">
        <is>
          <t>2013</t>
        </is>
      </c>
      <c r="D252" s="417" t="inlineStr">
        <is>
          <t>Three Springs Blvd @ Hwy 160</t>
        </is>
      </c>
      <c r="E252" s="208" t="n">
        <v>5.33333333333333</v>
      </c>
      <c r="F252" s="416" t="n"/>
      <c r="G252" s="416" t="n"/>
      <c r="H252" s="417" t="n"/>
    </row>
    <row r="253" ht="27.75" customHeight="1" s="210">
      <c r="A253" s="390">
        <f>LEFT(B253, FIND("-", B253) - 1)</f>
        <v/>
      </c>
      <c r="B253" s="390" t="inlineStr">
        <is>
          <t>TRAN-BIKEPEDCOUNT</t>
        </is>
      </c>
      <c r="C253" s="415" t="inlineStr">
        <is>
          <t>2015</t>
        </is>
      </c>
      <c r="D253" s="417" t="inlineStr">
        <is>
          <t>Three Springs Blvd @ Hwy 160</t>
        </is>
      </c>
      <c r="E253" s="208" t="n">
        <v>5.33333333333333</v>
      </c>
      <c r="F253" s="416" t="n"/>
      <c r="G253" s="416" t="n"/>
      <c r="H253" s="417" t="n"/>
    </row>
    <row r="254" ht="27.75" customHeight="1" s="210">
      <c r="A254" s="390">
        <f>LEFT(B254, FIND("-", B254) - 1)</f>
        <v/>
      </c>
      <c r="B254" s="390" t="inlineStr">
        <is>
          <t>TRAN-BIKEPEDCOUNT</t>
        </is>
      </c>
      <c r="C254" s="415" t="inlineStr">
        <is>
          <t>2017</t>
        </is>
      </c>
      <c r="D254" s="417" t="inlineStr">
        <is>
          <t>Three Springs Blvd @ Hwy 160</t>
        </is>
      </c>
      <c r="E254" s="208" t="n">
        <v>4.5</v>
      </c>
      <c r="F254" s="416" t="n"/>
      <c r="G254" s="416" t="n"/>
      <c r="H254" s="417" t="n"/>
    </row>
    <row r="255" ht="27.75" customHeight="1" s="210">
      <c r="A255" s="390">
        <f>LEFT(B255, FIND("-", B255) - 1)</f>
        <v/>
      </c>
      <c r="B255" s="390" t="inlineStr">
        <is>
          <t>TRAN-BIKEPEDCOUNT</t>
        </is>
      </c>
      <c r="C255" s="415" t="inlineStr">
        <is>
          <t>2019</t>
        </is>
      </c>
      <c r="D255" s="417" t="inlineStr">
        <is>
          <t>Three Springs Blvd @ Hwy 160</t>
        </is>
      </c>
      <c r="E255" s="208" t="n">
        <v>5.14285714285714</v>
      </c>
      <c r="F255" s="416" t="n"/>
      <c r="G255" s="416" t="n"/>
      <c r="H255" s="417" t="n"/>
    </row>
    <row r="256" ht="27.75" customHeight="1" s="210">
      <c r="A256" s="390">
        <f>LEFT(B256, FIND("-", B256) - 1)</f>
        <v/>
      </c>
      <c r="B256" s="390" t="inlineStr">
        <is>
          <t>TRAN-BIKEPEDCOUNT</t>
        </is>
      </c>
      <c r="C256" s="415" t="inlineStr">
        <is>
          <t>2021</t>
        </is>
      </c>
      <c r="D256" s="417" t="inlineStr">
        <is>
          <t>Three Springs Blvd @ Hwy 160</t>
        </is>
      </c>
      <c r="E256" s="208" t="n">
        <v>4.62857142857143</v>
      </c>
      <c r="F256" s="416" t="n"/>
      <c r="G256" s="416" t="n"/>
      <c r="H256" s="417" t="n"/>
    </row>
    <row r="257" ht="27.75" customHeight="1" s="210">
      <c r="A257" s="390">
        <f>LEFT(B257, FIND("-", B257) - 1)</f>
        <v/>
      </c>
      <c r="B257" s="390" t="inlineStr">
        <is>
          <t>TRAN-BIKEPEDCOUNT</t>
        </is>
      </c>
      <c r="C257" s="415" t="inlineStr">
        <is>
          <t>2023</t>
        </is>
      </c>
      <c r="D257" s="417" t="inlineStr">
        <is>
          <t>Three Springs Blvd @ Hwy 160</t>
        </is>
      </c>
      <c r="E257" s="208" t="n">
        <v>8</v>
      </c>
      <c r="F257" s="416" t="n"/>
      <c r="G257" s="416" t="n"/>
      <c r="H257" s="417" t="n"/>
    </row>
    <row r="258" ht="27.75" customHeight="1" s="210">
      <c r="A258" s="390">
        <f>LEFT(B258, FIND("-", B258) - 1)</f>
        <v/>
      </c>
      <c r="B258" s="390" t="inlineStr">
        <is>
          <t>TRAN-BIKEPEDCOUNT</t>
        </is>
      </c>
      <c r="C258" s="415" t="inlineStr">
        <is>
          <t>2025</t>
        </is>
      </c>
      <c r="D258" s="417" t="inlineStr">
        <is>
          <t>Three Springs Blvd @ Hwy 160</t>
        </is>
      </c>
      <c r="E258" s="208" t="n">
        <v>3</v>
      </c>
      <c r="F258" s="416" t="n"/>
      <c r="G258" s="416" t="n"/>
      <c r="H258" s="417" t="n"/>
    </row>
    <row r="259" ht="27.75" customHeight="1" s="210">
      <c r="A259" s="390">
        <f>LEFT(B259, FIND("-", B259) - 1)</f>
        <v/>
      </c>
      <c r="B259" s="390" t="inlineStr">
        <is>
          <t>TRAN-BIKEPEDCOUNT</t>
        </is>
      </c>
      <c r="C259" s="415" t="inlineStr">
        <is>
          <t>2009</t>
        </is>
      </c>
      <c r="D259" s="417" t="inlineStr">
        <is>
          <t>E. College Dr. and E. 8th Ave.</t>
        </is>
      </c>
      <c r="E259" s="208" t="n">
        <v>107.666666666667</v>
      </c>
      <c r="F259" s="416" t="n"/>
      <c r="G259" s="416" t="n"/>
      <c r="H259" s="417" t="n"/>
    </row>
    <row r="260" ht="27.75" customHeight="1" s="210">
      <c r="A260" s="390">
        <f>LEFT(B260, FIND("-", B260) - 1)</f>
        <v/>
      </c>
      <c r="B260" s="390" t="inlineStr">
        <is>
          <t>TRAN-BIKEPEDCOUNT</t>
        </is>
      </c>
      <c r="C260" s="415" t="inlineStr">
        <is>
          <t>2011</t>
        </is>
      </c>
      <c r="D260" s="417" t="inlineStr">
        <is>
          <t>E. College Dr. and E. 8th Ave.</t>
        </is>
      </c>
      <c r="E260" s="208" t="n">
        <v>95.3333333333333</v>
      </c>
      <c r="F260" s="416" t="n"/>
      <c r="G260" s="416" t="n"/>
      <c r="H260" s="417" t="n"/>
    </row>
    <row r="261" ht="27.75" customHeight="1" s="210">
      <c r="A261" s="390">
        <f>LEFT(B261, FIND("-", B261) - 1)</f>
        <v/>
      </c>
      <c r="B261" s="390" t="inlineStr">
        <is>
          <t>TRAN-BIKEPEDCOUNT</t>
        </is>
      </c>
      <c r="C261" s="415" t="inlineStr">
        <is>
          <t>2013</t>
        </is>
      </c>
      <c r="D261" s="417" t="inlineStr">
        <is>
          <t>E. College Dr. and E. 8th Ave.</t>
        </is>
      </c>
      <c r="E261" s="208" t="n">
        <v>96.1666666666667</v>
      </c>
      <c r="F261" s="416" t="n"/>
      <c r="G261" s="416" t="n"/>
      <c r="H261" s="417" t="n"/>
    </row>
    <row r="262" ht="27.75" customHeight="1" s="210">
      <c r="A262" s="390">
        <f>LEFT(B262, FIND("-", B262) - 1)</f>
        <v/>
      </c>
      <c r="B262" s="390" t="inlineStr">
        <is>
          <t>TRAN-BIKEPEDCOUNT</t>
        </is>
      </c>
      <c r="C262" s="415" t="inlineStr">
        <is>
          <t>2015</t>
        </is>
      </c>
      <c r="D262" s="417" t="inlineStr">
        <is>
          <t>E. College Dr. and E. 8th Ave.</t>
        </is>
      </c>
      <c r="E262" s="208" t="n">
        <v>104.333333333333</v>
      </c>
      <c r="F262" s="416" t="n"/>
      <c r="G262" s="416" t="n"/>
      <c r="H262" s="417" t="n"/>
    </row>
    <row r="263" ht="27.75" customHeight="1" s="210">
      <c r="A263" s="390">
        <f>LEFT(B263, FIND("-", B263) - 1)</f>
        <v/>
      </c>
      <c r="B263" s="390" t="inlineStr">
        <is>
          <t>TRAN-BIKEPEDCOUNT</t>
        </is>
      </c>
      <c r="C263" s="415" t="inlineStr">
        <is>
          <t>2017</t>
        </is>
      </c>
      <c r="D263" s="417" t="inlineStr">
        <is>
          <t>E. College Dr. and E. 8th Ave.</t>
        </is>
      </c>
      <c r="E263" s="208" t="n">
        <v>60.6428571428572</v>
      </c>
      <c r="F263" s="416" t="n"/>
      <c r="G263" s="416" t="n"/>
      <c r="H263" s="417" t="n"/>
    </row>
    <row r="264" ht="27.75" customHeight="1" s="210">
      <c r="A264" s="390">
        <f>LEFT(B264, FIND("-", B264) - 1)</f>
        <v/>
      </c>
      <c r="B264" s="390" t="inlineStr">
        <is>
          <t>TRAN-BIKEPEDCOUNT</t>
        </is>
      </c>
      <c r="C264" s="415" t="inlineStr">
        <is>
          <t>2019</t>
        </is>
      </c>
      <c r="D264" s="417" t="inlineStr">
        <is>
          <t>E. College Dr. and E. 8th Ave.</t>
        </is>
      </c>
      <c r="E264" s="208" t="n">
        <v>85.3015873015873</v>
      </c>
      <c r="F264" s="416" t="n"/>
      <c r="G264" s="416" t="n"/>
      <c r="H264" s="417" t="n"/>
    </row>
    <row r="265" ht="27.75" customHeight="1" s="210">
      <c r="A265" s="390">
        <f>LEFT(B265, FIND("-", B265) - 1)</f>
        <v/>
      </c>
      <c r="B265" s="390" t="inlineStr">
        <is>
          <t>TRAN-BIKEPEDCOUNT</t>
        </is>
      </c>
      <c r="C265" s="415" t="inlineStr">
        <is>
          <t>2021</t>
        </is>
      </c>
      <c r="D265" s="417" t="inlineStr">
        <is>
          <t>E. College Dr. and E. 8th Ave.</t>
        </is>
      </c>
      <c r="E265" s="208" t="n">
        <v>91.3333333333333</v>
      </c>
      <c r="F265" s="416" t="n"/>
      <c r="G265" s="416" t="n"/>
      <c r="H265" s="417" t="n"/>
    </row>
    <row r="266" ht="27.75" customHeight="1" s="210">
      <c r="A266" s="390">
        <f>LEFT(B266, FIND("-", B266) - 1)</f>
        <v/>
      </c>
      <c r="B266" s="390" t="inlineStr">
        <is>
          <t>TRAN-BIKEPEDCOUNT</t>
        </is>
      </c>
      <c r="C266" s="415" t="inlineStr">
        <is>
          <t>2023</t>
        </is>
      </c>
      <c r="D266" s="417" t="inlineStr">
        <is>
          <t>E. College Dr. and E. 8th Ave.</t>
        </is>
      </c>
      <c r="E266" s="208" t="n">
        <v>92</v>
      </c>
      <c r="F266" s="416" t="n"/>
      <c r="G266" s="416" t="n"/>
      <c r="H266" s="417" t="n"/>
    </row>
    <row r="267" ht="27.75" customHeight="1" s="210">
      <c r="A267" s="390">
        <f>LEFT(B267, FIND("-", B267) - 1)</f>
        <v/>
      </c>
      <c r="B267" s="390" t="inlineStr">
        <is>
          <t>TRAN-BIKEPEDCOUNT</t>
        </is>
      </c>
      <c r="C267" s="415" t="inlineStr">
        <is>
          <t>2025</t>
        </is>
      </c>
      <c r="D267" s="417" t="inlineStr">
        <is>
          <t>E. College Dr. and E. 8th Ave.</t>
        </is>
      </c>
      <c r="E267" s="208" t="n">
        <v>118</v>
      </c>
      <c r="F267" s="416" t="n"/>
      <c r="G267" s="416" t="n"/>
      <c r="H267" s="417" t="n"/>
    </row>
    <row r="268" ht="27.75" customHeight="1" s="210">
      <c r="A268" s="390">
        <f>LEFT(B268, FIND("-", B268) - 1)</f>
        <v/>
      </c>
      <c r="B268" s="390" t="inlineStr">
        <is>
          <t>TRAN-BIKEPEDCOUNT</t>
        </is>
      </c>
      <c r="C268" s="415" t="inlineStr">
        <is>
          <t>2009</t>
        </is>
      </c>
      <c r="D268" s="417" t="inlineStr">
        <is>
          <t>HAWK @ W. 12th St. &amp; Camino del Rio</t>
        </is>
      </c>
      <c r="F268" s="416" t="n"/>
      <c r="G268" s="416" t="n"/>
      <c r="H268" s="417" t="inlineStr">
        <is>
          <t>Location not counted this year</t>
        </is>
      </c>
    </row>
    <row r="269" ht="27.75" customHeight="1" s="210">
      <c r="A269" s="390">
        <f>LEFT(B269, FIND("-", B269) - 1)</f>
        <v/>
      </c>
      <c r="B269" s="390" t="inlineStr">
        <is>
          <t>TRAN-BIKEPEDCOUNT</t>
        </is>
      </c>
      <c r="C269" s="415" t="inlineStr">
        <is>
          <t>2011</t>
        </is>
      </c>
      <c r="D269" s="417" t="inlineStr">
        <is>
          <t>HAWK @ W. 12th St. &amp; Camino del Rio</t>
        </is>
      </c>
      <c r="F269" s="416" t="n"/>
      <c r="G269" s="416" t="n"/>
      <c r="H269" s="417" t="inlineStr">
        <is>
          <t>Location not counted this year</t>
        </is>
      </c>
    </row>
    <row r="270" ht="27.75" customHeight="1" s="210">
      <c r="A270" s="390">
        <f>LEFT(B270, FIND("-", B270) - 1)</f>
        <v/>
      </c>
      <c r="B270" s="390" t="inlineStr">
        <is>
          <t>TRAN-BIKEPEDCOUNT</t>
        </is>
      </c>
      <c r="C270" s="415" t="inlineStr">
        <is>
          <t>2013</t>
        </is>
      </c>
      <c r="D270" s="417" t="inlineStr">
        <is>
          <t>HAWK @ W. 12th St. &amp; Camino del Rio</t>
        </is>
      </c>
      <c r="F270" s="416" t="n"/>
      <c r="G270" s="416" t="n"/>
      <c r="H270" s="417" t="inlineStr">
        <is>
          <t>Location not counted this year</t>
        </is>
      </c>
    </row>
    <row r="271" ht="27.75" customHeight="1" s="210">
      <c r="A271" s="390">
        <f>LEFT(B271, FIND("-", B271) - 1)</f>
        <v/>
      </c>
      <c r="B271" s="390" t="inlineStr">
        <is>
          <t>TRAN-BIKEPEDCOUNT</t>
        </is>
      </c>
      <c r="C271" s="415" t="inlineStr">
        <is>
          <t>2015</t>
        </is>
      </c>
      <c r="D271" s="417" t="inlineStr">
        <is>
          <t>HAWK @ W. 12th St. &amp; Camino del Rio</t>
        </is>
      </c>
      <c r="E271" s="208" t="n">
        <v>83.8333333333333</v>
      </c>
      <c r="F271" s="416" t="n"/>
      <c r="G271" s="416" t="n"/>
      <c r="H271" s="417" t="n"/>
    </row>
    <row r="272" ht="27.75" customHeight="1" s="210">
      <c r="A272" s="390">
        <f>LEFT(B272, FIND("-", B272) - 1)</f>
        <v/>
      </c>
      <c r="B272" s="390" t="inlineStr">
        <is>
          <t>TRAN-BIKEPEDCOUNT</t>
        </is>
      </c>
      <c r="C272" s="415" t="inlineStr">
        <is>
          <t>2017</t>
        </is>
      </c>
      <c r="D272" s="417" t="inlineStr">
        <is>
          <t>HAWK @ W. 12th St. &amp; Camino del Rio</t>
        </is>
      </c>
      <c r="E272" s="208" t="n">
        <v>69.0714285714286</v>
      </c>
      <c r="F272" s="416" t="n"/>
      <c r="G272" s="416" t="n"/>
      <c r="H272" s="417" t="n"/>
    </row>
    <row r="273" ht="27.75" customHeight="1" s="210">
      <c r="A273" s="390">
        <f>LEFT(B273, FIND("-", B273) - 1)</f>
        <v/>
      </c>
      <c r="B273" s="390" t="inlineStr">
        <is>
          <t>TRAN-BIKEPEDCOUNT</t>
        </is>
      </c>
      <c r="C273" s="415" t="inlineStr">
        <is>
          <t>2019</t>
        </is>
      </c>
      <c r="D273" s="417" t="inlineStr">
        <is>
          <t>HAWK @ W. 12th St. &amp; Camino del Rio</t>
        </is>
      </c>
      <c r="E273" s="208" t="n">
        <v>102.047619047619</v>
      </c>
      <c r="F273" s="416" t="n"/>
      <c r="G273" s="416" t="n"/>
      <c r="H273" s="417" t="n"/>
    </row>
    <row r="274" ht="27.75" customHeight="1" s="210">
      <c r="A274" s="390">
        <f>LEFT(B274, FIND("-", B274) - 1)</f>
        <v/>
      </c>
      <c r="B274" s="390" t="inlineStr">
        <is>
          <t>TRAN-BIKEPEDCOUNT</t>
        </is>
      </c>
      <c r="C274" s="415" t="inlineStr">
        <is>
          <t>2021</t>
        </is>
      </c>
      <c r="D274" s="417" t="inlineStr">
        <is>
          <t>HAWK @ W. 12th St. &amp; Camino del Rio</t>
        </is>
      </c>
      <c r="E274" s="208" t="n">
        <v>100.968253968254</v>
      </c>
      <c r="F274" s="416" t="n"/>
      <c r="G274" s="416" t="n"/>
      <c r="H274" s="417" t="n"/>
    </row>
    <row r="275" ht="27.75" customHeight="1" s="210">
      <c r="A275" s="390">
        <f>LEFT(B275, FIND("-", B275) - 1)</f>
        <v/>
      </c>
      <c r="B275" s="390" t="inlineStr">
        <is>
          <t>TRAN-BIKEPEDCOUNT</t>
        </is>
      </c>
      <c r="C275" s="415" t="inlineStr">
        <is>
          <t>2023</t>
        </is>
      </c>
      <c r="D275" s="417" t="inlineStr">
        <is>
          <t>HAWK @ W. 12th St. &amp; Camino del Rio</t>
        </is>
      </c>
      <c r="E275" s="208" t="n">
        <v>81</v>
      </c>
      <c r="F275" s="416" t="n"/>
      <c r="G275" s="416" t="n"/>
      <c r="H275" s="417" t="n"/>
    </row>
    <row r="276" ht="27.75" customHeight="1" s="210">
      <c r="A276" s="390">
        <f>LEFT(B276, FIND("-", B276) - 1)</f>
        <v/>
      </c>
      <c r="B276" s="390" t="inlineStr">
        <is>
          <t>TRAN-BIKEPEDCOUNT</t>
        </is>
      </c>
      <c r="C276" s="415" t="inlineStr">
        <is>
          <t>2025</t>
        </is>
      </c>
      <c r="D276" s="417" t="inlineStr">
        <is>
          <t>HAWK @ W. 12th St. &amp; Camino del Rio</t>
        </is>
      </c>
      <c r="E276" s="208" t="n">
        <v>98</v>
      </c>
      <c r="F276" s="416" t="n"/>
      <c r="G276" s="416" t="n"/>
      <c r="H276" s="417" t="n"/>
    </row>
    <row r="277" ht="23.25" customHeight="1" s="210">
      <c r="A277" s="390">
        <f>LEFT(B277, FIND("-", B277) - 1)</f>
        <v/>
      </c>
      <c r="B277" s="390" t="inlineStr">
        <is>
          <t>TRAN-BIKEPEDCOUNT</t>
        </is>
      </c>
      <c r="C277" s="415" t="inlineStr">
        <is>
          <t>2009</t>
        </is>
      </c>
      <c r="D277" s="417" t="inlineStr">
        <is>
          <t>E. 8th Ave and E. 3rd St.</t>
        </is>
      </c>
      <c r="F277" s="416" t="n"/>
      <c r="G277" s="416" t="n"/>
      <c r="H277" s="417" t="inlineStr">
        <is>
          <t>Location not counted this year</t>
        </is>
      </c>
    </row>
    <row r="278" ht="23.25" customHeight="1" s="210">
      <c r="A278" s="390">
        <f>LEFT(B278, FIND("-", B278) - 1)</f>
        <v/>
      </c>
      <c r="B278" s="390" t="inlineStr">
        <is>
          <t>TRAN-BIKEPEDCOUNT</t>
        </is>
      </c>
      <c r="C278" s="415" t="inlineStr">
        <is>
          <t>2011</t>
        </is>
      </c>
      <c r="D278" s="417" t="inlineStr">
        <is>
          <t>E. 8th Ave and E. 3rd St.</t>
        </is>
      </c>
      <c r="F278" s="416" t="n"/>
      <c r="G278" s="416" t="n"/>
      <c r="H278" s="417" t="inlineStr">
        <is>
          <t>Location not counted this year</t>
        </is>
      </c>
    </row>
    <row r="279" ht="23.25" customHeight="1" s="210">
      <c r="A279" s="390">
        <f>LEFT(B279, FIND("-", B279) - 1)</f>
        <v/>
      </c>
      <c r="B279" s="390" t="inlineStr">
        <is>
          <t>TRAN-BIKEPEDCOUNT</t>
        </is>
      </c>
      <c r="C279" s="415" t="inlineStr">
        <is>
          <t>2013</t>
        </is>
      </c>
      <c r="D279" s="417" t="inlineStr">
        <is>
          <t>E. 8th Ave and E. 3rd St.</t>
        </is>
      </c>
      <c r="F279" s="416" t="n"/>
      <c r="G279" s="416" t="n"/>
      <c r="H279" s="417" t="inlineStr">
        <is>
          <t>Location not counted this year</t>
        </is>
      </c>
    </row>
    <row r="280" ht="15" customHeight="1" s="210">
      <c r="A280" s="390">
        <f>LEFT(B280, FIND("-", B280) - 1)</f>
        <v/>
      </c>
      <c r="B280" s="390" t="inlineStr">
        <is>
          <t>TRAN-BIKEPEDCOUNT</t>
        </is>
      </c>
      <c r="C280" s="415" t="inlineStr">
        <is>
          <t>2015</t>
        </is>
      </c>
      <c r="D280" s="417" t="inlineStr">
        <is>
          <t>E. 8th Ave and E. 3rd St.</t>
        </is>
      </c>
      <c r="E280" s="208" t="n">
        <v>77.3333333333333</v>
      </c>
      <c r="F280" s="416" t="n"/>
      <c r="G280" s="416" t="n"/>
      <c r="H280" s="417" t="n"/>
    </row>
    <row r="281" ht="15" customHeight="1" s="210">
      <c r="A281" s="390">
        <f>LEFT(B281, FIND("-", B281) - 1)</f>
        <v/>
      </c>
      <c r="B281" s="390" t="inlineStr">
        <is>
          <t>TRAN-BIKEPEDCOUNT</t>
        </is>
      </c>
      <c r="C281" s="415" t="inlineStr">
        <is>
          <t>2017</t>
        </is>
      </c>
      <c r="D281" s="417" t="inlineStr">
        <is>
          <t>E. 8th Ave and E. 3rd St.</t>
        </is>
      </c>
      <c r="E281" s="208" t="n">
        <v>65.6666666666667</v>
      </c>
      <c r="F281" s="416" t="n"/>
      <c r="G281" s="416" t="n"/>
      <c r="H281" s="417" t="n"/>
    </row>
    <row r="282" ht="15" customHeight="1" s="210">
      <c r="A282" s="390">
        <f>LEFT(B282, FIND("-", B282) - 1)</f>
        <v/>
      </c>
      <c r="B282" s="390" t="inlineStr">
        <is>
          <t>TRAN-BIKEPEDCOUNT</t>
        </is>
      </c>
      <c r="C282" s="415" t="inlineStr">
        <is>
          <t>2019</t>
        </is>
      </c>
      <c r="D282" s="417" t="inlineStr">
        <is>
          <t>E. 8th Ave and E. 3rd St.</t>
        </is>
      </c>
      <c r="E282" s="208" t="n">
        <v>90.84126984126981</v>
      </c>
      <c r="F282" s="416" t="n"/>
      <c r="G282" s="416" t="n"/>
      <c r="H282" s="417" t="n"/>
    </row>
    <row r="283" ht="15" customHeight="1" s="210">
      <c r="A283" s="390">
        <f>LEFT(B283, FIND("-", B283) - 1)</f>
        <v/>
      </c>
      <c r="B283" s="390" t="inlineStr">
        <is>
          <t>TRAN-BIKEPEDCOUNT</t>
        </is>
      </c>
      <c r="C283" s="415" t="inlineStr">
        <is>
          <t>2021</t>
        </is>
      </c>
      <c r="D283" s="417" t="inlineStr">
        <is>
          <t>E. 8th Ave and E. 3rd St.</t>
        </is>
      </c>
      <c r="E283" s="208" t="n">
        <v>106.333333333333</v>
      </c>
      <c r="F283" s="416" t="n"/>
      <c r="G283" s="416" t="n"/>
      <c r="H283" s="417" t="n"/>
    </row>
    <row r="284" ht="15" customHeight="1" s="210">
      <c r="A284" s="390">
        <f>LEFT(B284, FIND("-", B284) - 1)</f>
        <v/>
      </c>
      <c r="B284" s="390" t="inlineStr">
        <is>
          <t>TRAN-BIKEPEDCOUNT</t>
        </is>
      </c>
      <c r="C284" s="415" t="inlineStr">
        <is>
          <t>2023</t>
        </is>
      </c>
      <c r="D284" s="417" t="inlineStr">
        <is>
          <t>E. 8th Ave and E. 3rd St.</t>
        </is>
      </c>
      <c r="E284" s="208" t="n">
        <v>99</v>
      </c>
      <c r="F284" s="416" t="n"/>
      <c r="G284" s="416" t="n"/>
      <c r="H284" s="417" t="n"/>
    </row>
    <row r="285" ht="15" customHeight="1" s="210">
      <c r="A285" s="390">
        <f>LEFT(B285, FIND("-", B285) - 1)</f>
        <v/>
      </c>
      <c r="B285" s="390" t="inlineStr">
        <is>
          <t>TRAN-BIKEPEDCOUNT</t>
        </is>
      </c>
      <c r="C285" s="415" t="inlineStr">
        <is>
          <t>2025</t>
        </is>
      </c>
      <c r="D285" s="417" t="inlineStr">
        <is>
          <t>E. 8th Ave and E. 3rd St.</t>
        </is>
      </c>
      <c r="E285" s="208" t="n">
        <v>85</v>
      </c>
      <c r="F285" s="416" t="n"/>
      <c r="G285" s="416" t="n"/>
      <c r="H285" s="417" t="n"/>
    </row>
    <row r="286" ht="34.5" customHeight="1" s="210">
      <c r="A286" s="390">
        <f>LEFT(B286, FIND("-", B286) - 1)</f>
        <v/>
      </c>
      <c r="B286" s="390" t="inlineStr">
        <is>
          <t>TRAN-BIKEPEDCOUNT</t>
        </is>
      </c>
      <c r="C286" s="415" t="inlineStr">
        <is>
          <t>2015</t>
        </is>
      </c>
      <c r="D286" s="417" t="n"/>
      <c r="E286" s="208">
        <f>SUMIFS($E$187:$E$285,$B$187:$B$285,B286,$C$187:$C$285,C286)</f>
        <v/>
      </c>
      <c r="F286" s="416" t="n"/>
      <c r="G286" s="416" t="n"/>
      <c r="H286" s="417" t="n"/>
    </row>
    <row r="287" ht="34.5" customHeight="1" s="210">
      <c r="A287" s="390">
        <f>LEFT(B287, FIND("-", B287) - 1)</f>
        <v/>
      </c>
      <c r="B287" s="390" t="inlineStr">
        <is>
          <t>TRAN-BIKEPEDCOUNT</t>
        </is>
      </c>
      <c r="C287" s="415" t="inlineStr">
        <is>
          <t>2017</t>
        </is>
      </c>
      <c r="D287" s="417" t="n"/>
      <c r="E287" s="208">
        <f>SUMIFS($E$187:$E$285,$B$187:$B$285,B287,$C$187:$C$285,C287)</f>
        <v/>
      </c>
      <c r="F287" s="416" t="n"/>
      <c r="G287" s="416" t="n"/>
      <c r="H287" s="417" t="n"/>
    </row>
    <row r="288" ht="34.5" customHeight="1" s="210">
      <c r="A288" s="390">
        <f>LEFT(B288, FIND("-", B288) - 1)</f>
        <v/>
      </c>
      <c r="B288" s="390" t="inlineStr">
        <is>
          <t>TRAN-BIKEPEDCOUNT</t>
        </is>
      </c>
      <c r="C288" s="415" t="inlineStr">
        <is>
          <t>2019</t>
        </is>
      </c>
      <c r="D288" s="417" t="n"/>
      <c r="E288" s="208">
        <f>SUMIFS($E$187:$E$285,$B$187:$B$285,B288,$C$187:$C$285,C288)</f>
        <v/>
      </c>
      <c r="F288" s="416" t="n"/>
      <c r="G288" s="416" t="n"/>
      <c r="H288" s="417" t="n"/>
    </row>
    <row r="289" ht="34.5" customHeight="1" s="210">
      <c r="A289" s="390">
        <f>LEFT(B289, FIND("-", B289) - 1)</f>
        <v/>
      </c>
      <c r="B289" s="390" t="inlineStr">
        <is>
          <t>TRAN-BIKEPEDCOUNT</t>
        </is>
      </c>
      <c r="C289" s="415" t="inlineStr">
        <is>
          <t>2021</t>
        </is>
      </c>
      <c r="D289" s="417" t="n"/>
      <c r="E289" s="208">
        <f>SUMIFS($E$187:$E$285,$B$187:$B$285,B289,$C$187:$C$285,C289)</f>
        <v/>
      </c>
      <c r="F289" s="416" t="n"/>
      <c r="G289" s="416" t="n"/>
      <c r="H289" s="417" t="n"/>
    </row>
    <row r="290" ht="34.5" customHeight="1" s="210">
      <c r="A290" s="390">
        <f>LEFT(B290, FIND("-", B290) - 1)</f>
        <v/>
      </c>
      <c r="B290" s="390" t="inlineStr">
        <is>
          <t>TRAN-BIKEPEDCOUNT</t>
        </is>
      </c>
      <c r="C290" s="415" t="inlineStr">
        <is>
          <t>2023</t>
        </is>
      </c>
      <c r="D290" s="417" t="n"/>
      <c r="E290" s="208">
        <f>SUMIFS($E$187:$E$285,$B$187:$B$285,B290,$C$187:$C$285,C290)</f>
        <v/>
      </c>
      <c r="F290" s="416" t="n"/>
      <c r="G290" s="416" t="n"/>
      <c r="H290" s="417" t="n"/>
    </row>
    <row r="291" ht="34.5" customHeight="1" s="210">
      <c r="A291" s="390">
        <f>LEFT(B291, FIND("-", B291) - 1)</f>
        <v/>
      </c>
      <c r="B291" s="390" t="inlineStr">
        <is>
          <t>TRAN-BIKEPEDCOUNT</t>
        </is>
      </c>
      <c r="C291" s="415" t="inlineStr">
        <is>
          <t>2025</t>
        </is>
      </c>
      <c r="D291" s="417" t="n"/>
      <c r="E291" s="208">
        <f>SUMIFS($E$187:$E$285,$B$187:$B$285,B291,$C$187:$C$285,C291)</f>
        <v/>
      </c>
      <c r="F291" s="416" t="n"/>
      <c r="G291" s="416" t="n"/>
      <c r="H291" s="417" t="n"/>
    </row>
    <row r="292" ht="15" customHeight="1" s="210">
      <c r="A292" s="386">
        <f>LEFT(B292, FIND("-", B292) - 1)</f>
        <v/>
      </c>
      <c r="B292" s="386" t="inlineStr">
        <is>
          <t>PROS-REGULATEDUNITS</t>
        </is>
      </c>
      <c r="C292" s="415" t="inlineStr">
        <is>
          <t>2017</t>
        </is>
      </c>
      <c r="D292" s="416" t="n"/>
      <c r="E292" s="416" t="n">
        <v>516</v>
      </c>
      <c r="F292" s="416" t="n"/>
      <c r="G292" s="416" t="n"/>
      <c r="H292" s="417" t="n"/>
    </row>
    <row r="293" ht="15" customHeight="1" s="210">
      <c r="A293" s="386">
        <f>LEFT(B293, FIND("-", B293) - 1)</f>
        <v/>
      </c>
      <c r="B293" s="386" t="inlineStr">
        <is>
          <t>PROS-REGULATEDUNITS</t>
        </is>
      </c>
      <c r="C293" s="415" t="inlineStr">
        <is>
          <t>2020</t>
        </is>
      </c>
      <c r="D293" s="416" t="n"/>
      <c r="E293" s="416" t="n">
        <v>605</v>
      </c>
      <c r="F293" s="416" t="n"/>
      <c r="G293" s="416" t="n"/>
      <c r="H293" s="417" t="n"/>
    </row>
    <row r="294" ht="15" customHeight="1" s="210">
      <c r="A294" s="386">
        <f>LEFT(B294, FIND("-", B294) - 1)</f>
        <v/>
      </c>
      <c r="B294" s="386" t="inlineStr">
        <is>
          <t>PROS-LOCALSPEND</t>
        </is>
      </c>
      <c r="C294" s="415" t="inlineStr">
        <is>
          <t>2025</t>
        </is>
      </c>
      <c r="D294" s="416" t="n"/>
      <c r="E294" s="416" t="n">
        <v>342859.57</v>
      </c>
      <c r="F294" s="416" t="n"/>
      <c r="G294" s="416" t="n"/>
      <c r="H294" s="417" t="n"/>
    </row>
    <row r="295" ht="15" customHeight="1" s="210">
      <c r="A295" s="386">
        <f>LEFT(B295, FIND("-", B295) - 1)</f>
        <v/>
      </c>
      <c r="B295" s="386" t="inlineStr">
        <is>
          <t>TRAN-TOTALRIDERSHIP</t>
        </is>
      </c>
      <c r="C295" s="415" t="inlineStr">
        <is>
          <t>2020</t>
        </is>
      </c>
      <c r="D295" s="416" t="n"/>
      <c r="E295" s="416" t="n">
        <v>232798</v>
      </c>
      <c r="F295" s="416" t="n"/>
      <c r="G295" s="416" t="n"/>
      <c r="H295" s="417" t="n"/>
    </row>
    <row r="296" ht="15" customHeight="1" s="210">
      <c r="A296" s="386">
        <f>LEFT(B296, FIND("-", B296) - 1)</f>
        <v/>
      </c>
      <c r="B296" s="386" t="inlineStr">
        <is>
          <t>TRAN-TOTALRIDERSHIP</t>
        </is>
      </c>
      <c r="C296" s="415" t="inlineStr">
        <is>
          <t>2021</t>
        </is>
      </c>
      <c r="D296" s="416" t="n"/>
      <c r="E296" s="416" t="n">
        <v>243989</v>
      </c>
      <c r="F296" s="416">
        <f>ROUND(E295*1.03,0)</f>
        <v/>
      </c>
      <c r="G296" s="416" t="n"/>
      <c r="H296" s="417" t="n"/>
    </row>
    <row r="297" ht="15" customHeight="1" s="210">
      <c r="A297" s="386">
        <f>LEFT(B297, FIND("-", B297) - 1)</f>
        <v/>
      </c>
      <c r="B297" s="386" t="inlineStr">
        <is>
          <t>TRAN-TOTALRIDERSHIP</t>
        </is>
      </c>
      <c r="C297" s="415" t="inlineStr">
        <is>
          <t>2022</t>
        </is>
      </c>
      <c r="D297" s="416" t="n"/>
      <c r="E297" s="416" t="n">
        <v>329743</v>
      </c>
      <c r="F297" s="416">
        <f>ROUND(E296*1.03,0)</f>
        <v/>
      </c>
      <c r="G297" s="416" t="n"/>
      <c r="H297" s="417" t="n"/>
    </row>
    <row r="298" ht="15" customHeight="1" s="210">
      <c r="A298" s="386">
        <f>LEFT(B298, FIND("-", B298) - 1)</f>
        <v/>
      </c>
      <c r="B298" s="386" t="inlineStr">
        <is>
          <t>TRAN-TOTALRIDERSHIP</t>
        </is>
      </c>
      <c r="C298" s="415" t="inlineStr">
        <is>
          <t>2023</t>
        </is>
      </c>
      <c r="D298" s="416" t="n"/>
      <c r="E298" s="416" t="n">
        <v>425244</v>
      </c>
      <c r="F298" s="416">
        <f>ROUND(E297*1.03,0)</f>
        <v/>
      </c>
      <c r="G298" s="416" t="n"/>
      <c r="H298" s="417" t="n"/>
    </row>
    <row r="299" ht="15" customHeight="1" s="210">
      <c r="A299" s="386">
        <f>LEFT(B299, FIND("-", B299) - 1)</f>
        <v/>
      </c>
      <c r="B299" s="386" t="inlineStr">
        <is>
          <t>TRAN-TOTALRIDERSHIP</t>
        </is>
      </c>
      <c r="C299" s="415" t="inlineStr">
        <is>
          <t>2024</t>
        </is>
      </c>
      <c r="D299" s="416" t="n"/>
      <c r="E299" s="416" t="n">
        <v>458061</v>
      </c>
      <c r="F299" s="416">
        <f>ROUND(E298*1.03,0)</f>
        <v/>
      </c>
      <c r="G299" s="416" t="n"/>
      <c r="H299" s="417" t="n"/>
    </row>
    <row r="300" ht="15" customHeight="1" s="210">
      <c r="A300" s="386">
        <f>LEFT(B300, FIND("-", B300) - 1)</f>
        <v/>
      </c>
      <c r="B300" s="386" t="inlineStr">
        <is>
          <t>TRAN-TOTALRIDERSHIP</t>
        </is>
      </c>
      <c r="C300" s="415" t="inlineStr">
        <is>
          <t>2025</t>
        </is>
      </c>
      <c r="D300" s="416" t="n"/>
      <c r="E300" s="416" t="n">
        <v>470023</v>
      </c>
      <c r="F300" s="416">
        <f>ROUND(E299*1.03,0)</f>
        <v/>
      </c>
      <c r="G300" s="416" t="n"/>
      <c r="H300" s="417" t="n"/>
    </row>
    <row r="301" ht="15" customHeight="1" s="210">
      <c r="A301" s="386">
        <f>LEFT(B301, FIND("-", B301) - 1)</f>
        <v/>
      </c>
      <c r="B301" s="386" t="inlineStr">
        <is>
          <t>911-DISPATCHTIME</t>
        </is>
      </c>
      <c r="C301" s="415" t="inlineStr">
        <is>
          <t>2021</t>
        </is>
      </c>
      <c r="D301" s="416" t="inlineStr">
        <is>
          <t>Within 15 seconds</t>
        </is>
      </c>
      <c r="E301" s="416" t="n">
        <v>98</v>
      </c>
      <c r="F301" s="416" t="n">
        <v>95</v>
      </c>
      <c r="G301" s="416" t="n">
        <v>95</v>
      </c>
      <c r="H301" s="417" t="n"/>
    </row>
    <row r="302" ht="15" customHeight="1" s="210">
      <c r="A302" s="386">
        <f>LEFT(B302, FIND("-", B302) - 1)</f>
        <v/>
      </c>
      <c r="B302" s="386" t="inlineStr">
        <is>
          <t>911-DISPATCHTIME</t>
        </is>
      </c>
      <c r="C302" s="415" t="inlineStr">
        <is>
          <t>2022</t>
        </is>
      </c>
      <c r="D302" s="416" t="inlineStr">
        <is>
          <t>Within 15 seconds</t>
        </is>
      </c>
      <c r="E302" s="416" t="n">
        <v>97</v>
      </c>
      <c r="F302" s="416" t="n">
        <v>95</v>
      </c>
      <c r="G302" s="416" t="n">
        <v>95</v>
      </c>
      <c r="H302" s="417" t="n"/>
    </row>
    <row r="303" ht="15" customHeight="1" s="210">
      <c r="A303" s="386">
        <f>LEFT(B303, FIND("-", B303) - 1)</f>
        <v/>
      </c>
      <c r="B303" s="386" t="inlineStr">
        <is>
          <t>911-DISPATCHTIME</t>
        </is>
      </c>
      <c r="C303" s="415" t="inlineStr">
        <is>
          <t>2023</t>
        </is>
      </c>
      <c r="D303" s="416" t="inlineStr">
        <is>
          <t>Within 15 seconds</t>
        </is>
      </c>
      <c r="E303" s="416" t="n">
        <v>96</v>
      </c>
      <c r="F303" s="416" t="n">
        <v>95</v>
      </c>
      <c r="G303" s="416" t="n">
        <v>95</v>
      </c>
      <c r="H303" s="417" t="n"/>
    </row>
    <row r="304" ht="15" customHeight="1" s="210">
      <c r="A304" s="386">
        <f>LEFT(B304, FIND("-", B304) - 1)</f>
        <v/>
      </c>
      <c r="B304" s="386" t="inlineStr">
        <is>
          <t>911-DISPATCHTIME</t>
        </is>
      </c>
      <c r="C304" s="415" t="inlineStr">
        <is>
          <t>2024</t>
        </is>
      </c>
      <c r="D304" s="416" t="inlineStr">
        <is>
          <t>Within 15 seconds</t>
        </is>
      </c>
      <c r="E304" s="416" t="n">
        <v>97</v>
      </c>
      <c r="F304" s="416" t="n">
        <v>95</v>
      </c>
      <c r="G304" s="416" t="n">
        <v>95</v>
      </c>
      <c r="H304" s="417" t="n"/>
    </row>
    <row r="305" ht="15" customHeight="1" s="210">
      <c r="A305" s="386">
        <f>LEFT(B305, FIND("-", B305) - 1)</f>
        <v/>
      </c>
      <c r="B305" s="386" t="inlineStr">
        <is>
          <t>911-DISPATCHTIME</t>
        </is>
      </c>
      <c r="C305" s="415" t="inlineStr">
        <is>
          <t>2025</t>
        </is>
      </c>
      <c r="D305" s="416" t="inlineStr">
        <is>
          <t>Within 15 seconds</t>
        </is>
      </c>
      <c r="E305" s="416" t="n">
        <v>97</v>
      </c>
      <c r="F305" s="416" t="n">
        <v>95</v>
      </c>
      <c r="G305" s="416" t="n">
        <v>95</v>
      </c>
      <c r="H305" s="417" t="n"/>
    </row>
    <row r="306" ht="15" customHeight="1" s="210">
      <c r="A306" s="386">
        <f>LEFT(B306, FIND("-", B306) - 1)</f>
        <v/>
      </c>
      <c r="B306" s="386" t="inlineStr">
        <is>
          <t>911-DISPATCHTIME</t>
        </is>
      </c>
      <c r="C306" s="415" t="inlineStr">
        <is>
          <t>2020</t>
        </is>
      </c>
      <c r="D306" s="416" t="inlineStr">
        <is>
          <t>Within 20 seconds</t>
        </is>
      </c>
      <c r="E306" s="416" t="n">
        <v>100</v>
      </c>
      <c r="F306" s="416" t="n">
        <v>90</v>
      </c>
      <c r="G306" s="416" t="n">
        <v>90</v>
      </c>
      <c r="H306" s="417" t="n"/>
    </row>
    <row r="307" ht="15" customHeight="1" s="210">
      <c r="A307" s="386">
        <f>LEFT(B307, FIND("-", B307) - 1)</f>
        <v/>
      </c>
      <c r="B307" s="386" t="inlineStr">
        <is>
          <t>911-DISPATCHTIME</t>
        </is>
      </c>
      <c r="C307" s="415" t="inlineStr">
        <is>
          <t>2021</t>
        </is>
      </c>
      <c r="D307" s="416" t="inlineStr">
        <is>
          <t>Within 20 seconds</t>
        </is>
      </c>
      <c r="E307" s="416" t="n">
        <v>99</v>
      </c>
      <c r="F307" s="416" t="n">
        <v>90</v>
      </c>
      <c r="G307" s="416" t="n">
        <v>90</v>
      </c>
      <c r="H307" s="417" t="n"/>
    </row>
    <row r="308" ht="15" customHeight="1" s="210">
      <c r="A308" s="386">
        <f>LEFT(B308, FIND("-", B308) - 1)</f>
        <v/>
      </c>
      <c r="B308" s="386" t="inlineStr">
        <is>
          <t>911-DISPATCHTIME</t>
        </is>
      </c>
      <c r="C308" s="415" t="inlineStr">
        <is>
          <t>2022</t>
        </is>
      </c>
      <c r="D308" s="416" t="inlineStr">
        <is>
          <t>Within 20 seconds</t>
        </is>
      </c>
      <c r="E308" s="416" t="n">
        <v>98</v>
      </c>
      <c r="F308" s="416" t="n">
        <v>90</v>
      </c>
      <c r="G308" s="416" t="n">
        <v>90</v>
      </c>
      <c r="H308" s="417" t="n"/>
    </row>
    <row r="309" ht="15" customHeight="1" s="210">
      <c r="A309" s="386">
        <f>LEFT(B309, FIND("-", B309) - 1)</f>
        <v/>
      </c>
      <c r="B309" s="386" t="inlineStr">
        <is>
          <t>911-DISPATCHTIME</t>
        </is>
      </c>
      <c r="C309" s="415" t="inlineStr">
        <is>
          <t>2023</t>
        </is>
      </c>
      <c r="D309" s="416" t="inlineStr">
        <is>
          <t>Within 20 seconds</t>
        </is>
      </c>
      <c r="E309" s="416" t="n">
        <v>98</v>
      </c>
      <c r="F309" s="416" t="n">
        <v>90</v>
      </c>
      <c r="G309" s="416" t="n">
        <v>90</v>
      </c>
      <c r="H309" s="417" t="n"/>
    </row>
    <row r="310" ht="15" customHeight="1" s="210">
      <c r="A310" s="386">
        <f>LEFT(B310, FIND("-", B310) - 1)</f>
        <v/>
      </c>
      <c r="B310" s="386" t="inlineStr">
        <is>
          <t>911-DISPATCHTIME</t>
        </is>
      </c>
      <c r="C310" s="415" t="inlineStr">
        <is>
          <t>2024</t>
        </is>
      </c>
      <c r="D310" s="416" t="inlineStr">
        <is>
          <t>Within 20 seconds</t>
        </is>
      </c>
      <c r="E310" s="416" t="n">
        <v>99</v>
      </c>
      <c r="F310" s="416" t="n">
        <v>90</v>
      </c>
      <c r="G310" s="416" t="n">
        <v>90</v>
      </c>
      <c r="H310" s="417" t="n"/>
    </row>
    <row r="311" ht="15" customHeight="1" s="210">
      <c r="A311" s="386">
        <f>LEFT(B311, FIND("-", B311) - 1)</f>
        <v/>
      </c>
      <c r="B311" s="386" t="inlineStr">
        <is>
          <t>911-DISPATCHTIME</t>
        </is>
      </c>
      <c r="C311" s="415" t="inlineStr">
        <is>
          <t>2025</t>
        </is>
      </c>
      <c r="D311" s="416" t="inlineStr">
        <is>
          <t>Within 20 seconds</t>
        </is>
      </c>
      <c r="E311" s="416" t="n">
        <v>98</v>
      </c>
      <c r="F311" s="416" t="n">
        <v>90</v>
      </c>
      <c r="G311" s="416" t="n">
        <v>90</v>
      </c>
      <c r="H311" s="417" t="n"/>
    </row>
    <row r="312" ht="15" customHeight="1" s="210">
      <c r="A312" s="386">
        <f>LEFT(B312, FIND("-", B312) - 1)</f>
        <v/>
      </c>
      <c r="B312" s="386" t="inlineStr">
        <is>
          <t>TRAN-CRASHDATA</t>
        </is>
      </c>
      <c r="C312" s="415" t="inlineStr">
        <is>
          <t>2021</t>
        </is>
      </c>
      <c r="D312" s="416" t="n"/>
      <c r="E312" s="416" t="n">
        <v>54</v>
      </c>
      <c r="F312" s="416">
        <f>ROUND(E132*0.9,0)</f>
        <v/>
      </c>
      <c r="G312" s="416" t="n">
        <v>40.5</v>
      </c>
      <c r="H312" s="417" t="n"/>
    </row>
    <row r="313" ht="15" customHeight="1" s="210">
      <c r="A313" s="386">
        <f>LEFT(B313, FIND("-", B313) - 1)</f>
        <v/>
      </c>
      <c r="B313" s="386" t="inlineStr">
        <is>
          <t>TRAN-CRASHDATA</t>
        </is>
      </c>
      <c r="C313" s="415" t="inlineStr">
        <is>
          <t>2022</t>
        </is>
      </c>
      <c r="D313" s="416" t="n"/>
      <c r="E313" s="416" t="n">
        <v>42</v>
      </c>
      <c r="F313" s="416">
        <f>ROUND(E312*0.9,0)</f>
        <v/>
      </c>
      <c r="G313" s="416" t="n">
        <v>40.5</v>
      </c>
      <c r="H313" s="417" t="n"/>
    </row>
    <row r="314" ht="15" customHeight="1" s="210">
      <c r="A314" s="386">
        <f>LEFT(B314, FIND("-", B314) - 1)</f>
        <v/>
      </c>
      <c r="B314" s="386" t="inlineStr">
        <is>
          <t>TRAN-CRASHDATA</t>
        </is>
      </c>
      <c r="C314" s="415" t="inlineStr">
        <is>
          <t>2023</t>
        </is>
      </c>
      <c r="D314" s="416" t="n"/>
      <c r="E314" s="416" t="n">
        <v>45</v>
      </c>
      <c r="F314" s="416">
        <f>ROUND(E313*0.9,0)</f>
        <v/>
      </c>
      <c r="G314" s="416" t="n">
        <v>40.5</v>
      </c>
      <c r="H314" s="417" t="n"/>
    </row>
    <row r="315" ht="15" customHeight="1" s="210">
      <c r="A315" s="386">
        <f>LEFT(B315, FIND("-", B315) - 1)</f>
        <v/>
      </c>
      <c r="B315" s="386" t="inlineStr">
        <is>
          <t>TRAN-CRASHDATA</t>
        </is>
      </c>
      <c r="C315" s="415" t="inlineStr">
        <is>
          <t>2024</t>
        </is>
      </c>
      <c r="D315" s="416" t="n"/>
      <c r="E315" s="416" t="n">
        <v>44</v>
      </c>
      <c r="F315" s="416">
        <f>ROUND(E314*0.9,0)</f>
        <v/>
      </c>
      <c r="G315" s="416" t="n">
        <v>40.5</v>
      </c>
      <c r="H315" s="417" t="n"/>
    </row>
    <row r="316" ht="15" customHeight="1" s="210">
      <c r="A316" s="386">
        <f>LEFT(B316, FIND("-", B316) - 1)</f>
        <v/>
      </c>
      <c r="B316" s="386" t="inlineStr">
        <is>
          <t>TRAN-CRASHDATA</t>
        </is>
      </c>
      <c r="C316" s="415" t="inlineStr">
        <is>
          <t>2025</t>
        </is>
      </c>
      <c r="D316" s="416" t="n"/>
      <c r="E316" s="416" t="n">
        <v>51</v>
      </c>
      <c r="F316" s="416">
        <f>ROUND(E315*0.9,0)</f>
        <v/>
      </c>
      <c r="G316" s="416" t="n">
        <v>40.5</v>
      </c>
      <c r="H316" s="417" t="n"/>
    </row>
    <row r="317" ht="15" customHeight="1" s="210">
      <c r="A317" s="386">
        <f>LEFT(B317, FIND("-", B317) - 1)</f>
        <v/>
      </c>
      <c r="B317" s="386" t="inlineStr">
        <is>
          <t>PD-VIOLENTPROPCRIME</t>
        </is>
      </c>
      <c r="C317" s="415" t="inlineStr">
        <is>
          <t>2021</t>
        </is>
      </c>
      <c r="D317" s="416" t="n"/>
      <c r="E317" s="416" t="n">
        <v>45</v>
      </c>
      <c r="F317" s="416">
        <f>ROUND(G317*0.9,1)</f>
        <v/>
      </c>
      <c r="G317" s="416" t="n">
        <v>36.4</v>
      </c>
      <c r="H317" s="417" t="n"/>
    </row>
    <row r="318" ht="15" customHeight="1" s="210">
      <c r="A318" s="386">
        <f>LEFT(B318, FIND("-", B318) - 1)</f>
        <v/>
      </c>
      <c r="B318" s="386" t="inlineStr">
        <is>
          <t>PD-VIOLENTPROPCRIME</t>
        </is>
      </c>
      <c r="C318" s="415" t="inlineStr">
        <is>
          <t>2022</t>
        </is>
      </c>
      <c r="D318" s="416" t="n"/>
      <c r="E318" s="416" t="n">
        <v>41</v>
      </c>
      <c r="F318" s="416">
        <f>ROUND(G318*0.9,1)</f>
        <v/>
      </c>
      <c r="G318" s="416" t="n">
        <v>36.4</v>
      </c>
      <c r="H318" s="417" t="n"/>
    </row>
    <row r="319" ht="15" customHeight="1" s="210">
      <c r="A319" s="386">
        <f>LEFT(B319, FIND("-", B319) - 1)</f>
        <v/>
      </c>
      <c r="B319" s="386" t="inlineStr">
        <is>
          <t>PD-VIOLENTPROPCRIME</t>
        </is>
      </c>
      <c r="C319" s="415" t="inlineStr">
        <is>
          <t>2023</t>
        </is>
      </c>
      <c r="D319" s="416" t="n"/>
      <c r="E319" s="416" t="n">
        <v>41</v>
      </c>
      <c r="F319" s="416">
        <f>ROUND(G319*0.9,1)</f>
        <v/>
      </c>
      <c r="G319" s="416" t="n">
        <v>36.4</v>
      </c>
      <c r="H319" s="417" t="n"/>
    </row>
    <row r="320" ht="15" customHeight="1" s="210">
      <c r="A320" s="386">
        <f>LEFT(B320, FIND("-", B320) - 1)</f>
        <v/>
      </c>
      <c r="B320" s="386" t="inlineStr">
        <is>
          <t>PD-VIOLENTPROPCRIME</t>
        </is>
      </c>
      <c r="C320" s="415" t="inlineStr">
        <is>
          <t>2024</t>
        </is>
      </c>
      <c r="D320" s="416" t="n"/>
      <c r="E320" s="416" t="n">
        <v>53</v>
      </c>
      <c r="F320" s="416">
        <f>ROUND(G320*0.9,1)</f>
        <v/>
      </c>
      <c r="G320" s="416" t="n">
        <v>36.4</v>
      </c>
      <c r="H320" s="417" t="n"/>
    </row>
    <row r="321" ht="15" customHeight="1" s="210">
      <c r="A321" s="386">
        <f>LEFT(B321, FIND("-", B321) - 1)</f>
        <v/>
      </c>
      <c r="B321" s="386" t="inlineStr">
        <is>
          <t>PD-VIOLENTPROPCRIME</t>
        </is>
      </c>
      <c r="C321" s="415" t="inlineStr">
        <is>
          <t>2025</t>
        </is>
      </c>
      <c r="D321" s="416" t="n"/>
      <c r="E321" s="416" t="n">
        <v>44</v>
      </c>
      <c r="F321" s="416">
        <f>ROUND(G321*0.9,1)</f>
        <v/>
      </c>
      <c r="G321" s="416" t="n">
        <v>36.4</v>
      </c>
      <c r="H321" s="417" t="n"/>
    </row>
    <row r="322" ht="15" customHeight="1" s="210">
      <c r="A322" s="386">
        <f>LEFT(B322, FIND("-", B322) - 1)</f>
        <v/>
      </c>
      <c r="B322" s="386" t="inlineStr">
        <is>
          <t>CLERK-AGENDAPOST</t>
        </is>
      </c>
      <c r="C322" s="415" t="inlineStr">
        <is>
          <t>2025-Q1</t>
        </is>
      </c>
      <c r="D322" s="416" t="n"/>
      <c r="E322" s="416" t="n">
        <v>95</v>
      </c>
      <c r="F322" s="416" t="n">
        <v>90</v>
      </c>
      <c r="G322" s="416" t="n"/>
      <c r="H322" s="417" t="n"/>
    </row>
    <row r="323" ht="15" customHeight="1" s="210">
      <c r="A323" s="386">
        <f>LEFT(B323, FIND("-", B323) - 1)</f>
        <v/>
      </c>
      <c r="B323" s="386" t="inlineStr">
        <is>
          <t>CLERK-AGENDAPOST</t>
        </is>
      </c>
      <c r="C323" s="415" t="inlineStr">
        <is>
          <t>2025-Q2</t>
        </is>
      </c>
      <c r="D323" s="416" t="n"/>
      <c r="E323" s="416" t="n">
        <v>95</v>
      </c>
      <c r="F323" s="416" t="n">
        <v>90</v>
      </c>
      <c r="G323" s="416" t="n"/>
      <c r="H323" s="417" t="n"/>
    </row>
    <row r="324" ht="15" customHeight="1" s="210">
      <c r="A324" s="386">
        <f>LEFT(B324, FIND("-", B324) - 1)</f>
        <v/>
      </c>
      <c r="B324" s="386" t="inlineStr">
        <is>
          <t>CLERK-AGENDAPOST</t>
        </is>
      </c>
      <c r="C324" s="415" t="inlineStr">
        <is>
          <t>2025-Q3</t>
        </is>
      </c>
      <c r="D324" s="416" t="n"/>
      <c r="E324" s="416" t="n">
        <v>97</v>
      </c>
      <c r="F324" s="416" t="n">
        <v>90</v>
      </c>
      <c r="G324" s="416" t="n"/>
      <c r="H324" s="417" t="n"/>
    </row>
    <row r="325" ht="15" customHeight="1" s="210">
      <c r="A325" s="386">
        <f>LEFT(B325, FIND("-", B325) - 1)</f>
        <v/>
      </c>
      <c r="B325" s="386" t="inlineStr">
        <is>
          <t>CLERK-AGENDAPOST</t>
        </is>
      </c>
      <c r="C325" s="415" t="inlineStr">
        <is>
          <t>2025-Q4</t>
        </is>
      </c>
      <c r="D325" s="416" t="n"/>
      <c r="E325" s="416" t="n">
        <v>97</v>
      </c>
      <c r="F325" s="416" t="n">
        <v>90</v>
      </c>
      <c r="G325" s="416" t="n"/>
      <c r="H325" s="417" t="n"/>
    </row>
    <row r="326" ht="15" customHeight="1" s="210">
      <c r="A326" s="386">
        <f>LEFT(B326, FIND("-", B326) - 1)</f>
        <v/>
      </c>
      <c r="B326" s="386" t="inlineStr">
        <is>
          <t>CLERK-AGENDAPOST</t>
        </is>
      </c>
      <c r="C326" s="415" t="inlineStr">
        <is>
          <t>2026-Q1</t>
        </is>
      </c>
      <c r="D326" s="416" t="n"/>
      <c r="E326" s="416" t="n">
        <v>95</v>
      </c>
      <c r="F326" s="416" t="n">
        <v>90</v>
      </c>
      <c r="G326" s="416" t="n"/>
      <c r="H326" s="417" t="n"/>
    </row>
    <row r="327" ht="15" customHeight="1" s="210">
      <c r="A327" s="386">
        <f>LEFT(B327, FIND("-", B327) - 1)</f>
        <v/>
      </c>
      <c r="B327" s="386" t="inlineStr">
        <is>
          <t>CLERK-CORARESPRATE</t>
        </is>
      </c>
      <c r="C327" s="415" t="inlineStr">
        <is>
          <t>2025-Q1</t>
        </is>
      </c>
      <c r="D327" s="416" t="n"/>
      <c r="E327" s="416" t="n">
        <v>87</v>
      </c>
      <c r="F327" s="416" t="n">
        <v>90</v>
      </c>
      <c r="G327" s="416" t="n"/>
      <c r="H327" s="417" t="n"/>
    </row>
    <row r="328" ht="15" customHeight="1" s="210">
      <c r="A328" s="386">
        <f>LEFT(B328, FIND("-", B328) - 1)</f>
        <v/>
      </c>
      <c r="B328" s="386" t="inlineStr">
        <is>
          <t>CLERK-CORARESPRATE</t>
        </is>
      </c>
      <c r="C328" s="415" t="inlineStr">
        <is>
          <t>2025-Q2</t>
        </is>
      </c>
      <c r="D328" s="416" t="n"/>
      <c r="E328" s="416" t="n">
        <v>87</v>
      </c>
      <c r="F328" s="416" t="n">
        <v>90</v>
      </c>
      <c r="G328" s="416" t="n"/>
      <c r="H328" s="417" t="n"/>
    </row>
    <row r="329" ht="15" customHeight="1" s="210">
      <c r="A329" s="386">
        <f>LEFT(B329, FIND("-", B329) - 1)</f>
        <v/>
      </c>
      <c r="B329" s="386" t="inlineStr">
        <is>
          <t>CLERK-CORARESPRATE</t>
        </is>
      </c>
      <c r="C329" s="415" t="inlineStr">
        <is>
          <t>2025-Q3</t>
        </is>
      </c>
      <c r="D329" s="416" t="n"/>
      <c r="E329" s="416" t="n">
        <v>88</v>
      </c>
      <c r="F329" s="416" t="n">
        <v>90</v>
      </c>
      <c r="G329" s="416" t="n"/>
      <c r="H329" s="417" t="n"/>
    </row>
    <row r="330" ht="15" customHeight="1" s="210">
      <c r="A330" s="386">
        <f>LEFT(B330, FIND("-", B330) - 1)</f>
        <v/>
      </c>
      <c r="B330" s="386" t="inlineStr">
        <is>
          <t>CLERK-CORARESPRATE</t>
        </is>
      </c>
      <c r="C330" s="415" t="inlineStr">
        <is>
          <t>2025-Q4</t>
        </is>
      </c>
      <c r="D330" s="416" t="n"/>
      <c r="E330" s="416" t="n">
        <v>88</v>
      </c>
      <c r="F330" s="416" t="n">
        <v>90</v>
      </c>
      <c r="G330" s="416" t="n"/>
      <c r="H330" s="417" t="n"/>
    </row>
    <row r="331" ht="15" customHeight="1" s="210">
      <c r="A331" s="386">
        <f>LEFT(B331, FIND("-", B331) - 1)</f>
        <v/>
      </c>
      <c r="B331" s="386" t="inlineStr">
        <is>
          <t>CLERK-CORARESPRATE</t>
        </is>
      </c>
      <c r="C331" s="415" t="inlineStr">
        <is>
          <t>2026-Q1</t>
        </is>
      </c>
      <c r="D331" s="416" t="n"/>
      <c r="E331" s="416" t="n">
        <v>88</v>
      </c>
      <c r="F331" s="416" t="n">
        <v>90</v>
      </c>
      <c r="G331" s="416" t="n"/>
      <c r="H331" s="417" t="n"/>
    </row>
    <row r="332" ht="15" customHeight="1" s="210">
      <c r="A332" s="386">
        <f>LEFT(B332, FIND("-", B332) - 1)</f>
        <v/>
      </c>
      <c r="B332" s="386" t="inlineStr">
        <is>
          <t>HR-TURNRATE</t>
        </is>
      </c>
      <c r="C332" s="415" t="inlineStr">
        <is>
          <t>2022</t>
        </is>
      </c>
      <c r="D332" s="416" t="n"/>
      <c r="E332" s="416" t="n">
        <v>20.3</v>
      </c>
      <c r="F332" s="416" t="n">
        <v>20</v>
      </c>
      <c r="G332" s="416" t="n">
        <v>20</v>
      </c>
      <c r="H332" s="417" t="n"/>
    </row>
    <row r="333" ht="15" customHeight="1" s="210">
      <c r="A333" s="386">
        <f>LEFT(B333, FIND("-", B333) - 1)</f>
        <v/>
      </c>
      <c r="B333" s="386" t="inlineStr">
        <is>
          <t>HR-TURNRATE</t>
        </is>
      </c>
      <c r="C333" s="415" t="inlineStr">
        <is>
          <t>2023</t>
        </is>
      </c>
      <c r="D333" s="416" t="n"/>
      <c r="E333" s="416" t="n">
        <v>21.18</v>
      </c>
      <c r="F333" s="416" t="n">
        <v>20</v>
      </c>
      <c r="G333" s="416" t="n">
        <v>18</v>
      </c>
      <c r="H333" s="417" t="n"/>
    </row>
    <row r="334" ht="15" customHeight="1" s="210">
      <c r="A334" s="386">
        <f>LEFT(B334, FIND("-", B334) - 1)</f>
        <v/>
      </c>
      <c r="B334" s="386" t="inlineStr">
        <is>
          <t>HR-TURNRATE</t>
        </is>
      </c>
      <c r="C334" s="415" t="inlineStr">
        <is>
          <t>2024</t>
        </is>
      </c>
      <c r="D334" s="416" t="n"/>
      <c r="E334" s="416" t="n">
        <v>19.85</v>
      </c>
      <c r="F334" s="416" t="n">
        <v>20</v>
      </c>
      <c r="G334" s="416" t="n">
        <v>20</v>
      </c>
      <c r="H334" s="417" t="n"/>
    </row>
    <row r="335" ht="15" customHeight="1" s="210">
      <c r="A335" s="386">
        <f>LEFT(B335, FIND("-", B335) - 1)</f>
        <v/>
      </c>
      <c r="B335" s="386" t="inlineStr">
        <is>
          <t>HR-TURNRATE</t>
        </is>
      </c>
      <c r="C335" s="415" t="inlineStr">
        <is>
          <t>2025</t>
        </is>
      </c>
      <c r="D335" s="416" t="n"/>
      <c r="E335" s="416" t="n">
        <v>16.6</v>
      </c>
      <c r="F335" s="416" t="n">
        <v>20</v>
      </c>
      <c r="G335" s="416" t="n">
        <v>20</v>
      </c>
      <c r="H335" s="417" t="n"/>
    </row>
    <row r="336" ht="15" customHeight="1" s="210">
      <c r="A336" s="386">
        <f>LEFT(B336, FIND("-", B336) - 1)</f>
        <v/>
      </c>
      <c r="B336" s="386" t="inlineStr">
        <is>
          <t>HR-INTPROMO</t>
        </is>
      </c>
      <c r="C336" s="415" t="inlineStr">
        <is>
          <t>2023</t>
        </is>
      </c>
      <c r="D336" s="416" t="n"/>
      <c r="E336" s="416" t="n">
        <v>20.6</v>
      </c>
      <c r="F336" s="416" t="n">
        <v>10</v>
      </c>
      <c r="G336" s="416" t="n">
        <v>6</v>
      </c>
      <c r="H336" s="417" t="n"/>
    </row>
    <row r="337" ht="15" customHeight="1" s="210">
      <c r="A337" s="386">
        <f>LEFT(B337, FIND("-", B337) - 1)</f>
        <v/>
      </c>
      <c r="B337" s="386" t="inlineStr">
        <is>
          <t>HR-INTPROMO</t>
        </is>
      </c>
      <c r="C337" s="415" t="inlineStr">
        <is>
          <t>2024</t>
        </is>
      </c>
      <c r="D337" s="416" t="n"/>
      <c r="E337" s="416" t="n">
        <v>17.6</v>
      </c>
      <c r="F337" s="416" t="n">
        <v>10</v>
      </c>
      <c r="G337" s="416" t="n">
        <v>6</v>
      </c>
      <c r="H337" s="417" t="n"/>
    </row>
    <row r="338" ht="15" customHeight="1" s="210">
      <c r="A338" s="386">
        <f>LEFT(B338, FIND("-", B338) - 1)</f>
        <v/>
      </c>
      <c r="B338" s="386" t="inlineStr">
        <is>
          <t>HR-INTPROMO</t>
        </is>
      </c>
      <c r="C338" s="415" t="inlineStr">
        <is>
          <t>2025</t>
        </is>
      </c>
      <c r="D338" s="416" t="n"/>
      <c r="E338" s="416" t="n">
        <v>30.09</v>
      </c>
      <c r="F338" s="416" t="n">
        <v>10</v>
      </c>
      <c r="G338" s="416" t="n">
        <v>6</v>
      </c>
      <c r="H338" s="417" t="n"/>
    </row>
    <row r="339" ht="15" customHeight="1" s="210">
      <c r="A339" s="386">
        <f>LEFT(B339, FIND("-", B339) - 1)</f>
        <v/>
      </c>
      <c r="B339" s="386" t="inlineStr">
        <is>
          <t>PROS-ALLCOMMEVENTS</t>
        </is>
      </c>
      <c r="C339" s="415" t="inlineStr">
        <is>
          <t>2020</t>
        </is>
      </c>
      <c r="D339" s="416" t="n"/>
      <c r="E339" s="416" t="n">
        <v>47</v>
      </c>
      <c r="F339" s="416" t="n">
        <v>250</v>
      </c>
      <c r="G339" s="416" t="n"/>
      <c r="H339" s="417" t="n"/>
    </row>
    <row r="340" ht="15" customHeight="1" s="210">
      <c r="A340" s="386">
        <f>LEFT(B340, FIND("-", B340) - 1)</f>
        <v/>
      </c>
      <c r="B340" s="386" t="inlineStr">
        <is>
          <t>PROS-ALLCOMMEVENTS</t>
        </is>
      </c>
      <c r="C340" s="415" t="inlineStr">
        <is>
          <t>2021</t>
        </is>
      </c>
      <c r="D340" s="416" t="n"/>
      <c r="E340" s="416" t="n">
        <v>202</v>
      </c>
      <c r="F340" s="416" t="n">
        <v>250</v>
      </c>
      <c r="G340" s="416" t="n"/>
      <c r="H340" s="417" t="n"/>
    </row>
    <row r="341" ht="15" customHeight="1" s="210">
      <c r="A341" s="386">
        <f>LEFT(B341, FIND("-", B341) - 1)</f>
        <v/>
      </c>
      <c r="B341" s="386" t="inlineStr">
        <is>
          <t>PROS-ALLCOMMEVENTS</t>
        </is>
      </c>
      <c r="C341" s="415" t="inlineStr">
        <is>
          <t>2022</t>
        </is>
      </c>
      <c r="D341" s="416" t="n"/>
      <c r="E341" s="416" t="n">
        <v>264</v>
      </c>
      <c r="F341" s="416" t="n">
        <v>250</v>
      </c>
      <c r="G341" s="416" t="n"/>
      <c r="H341" s="417" t="n"/>
    </row>
    <row r="342" ht="15" customHeight="1" s="210">
      <c r="A342" s="386">
        <f>LEFT(B342, FIND("-", B342) - 1)</f>
        <v/>
      </c>
      <c r="B342" s="386" t="inlineStr">
        <is>
          <t>PROS-ALLCOMMEVENTS</t>
        </is>
      </c>
      <c r="C342" s="415" t="inlineStr">
        <is>
          <t>2023</t>
        </is>
      </c>
      <c r="D342" s="416" t="n"/>
      <c r="E342" s="416" t="n">
        <v>236</v>
      </c>
      <c r="F342" s="416" t="n">
        <v>250</v>
      </c>
      <c r="G342" s="416" t="n"/>
      <c r="H342" s="417" t="n"/>
    </row>
    <row r="343" ht="15" customHeight="1" s="210">
      <c r="A343" s="386">
        <f>LEFT(B343, FIND("-", B343) - 1)</f>
        <v/>
      </c>
      <c r="B343" s="386" t="inlineStr">
        <is>
          <t>PROS-ALLCOMMEVENTS</t>
        </is>
      </c>
      <c r="C343" s="415" t="inlineStr">
        <is>
          <t>2024</t>
        </is>
      </c>
      <c r="D343" s="416" t="n"/>
      <c r="E343" s="416" t="n">
        <v>236</v>
      </c>
      <c r="F343" s="416" t="n">
        <v>250</v>
      </c>
      <c r="G343" s="416" t="n"/>
      <c r="H343" s="417" t="n"/>
    </row>
    <row r="344" ht="15" customHeight="1" s="210">
      <c r="A344" s="386">
        <f>LEFT(B344, FIND("-", B344) - 1)</f>
        <v/>
      </c>
      <c r="B344" s="386" t="inlineStr">
        <is>
          <t>PROS-ALLCOMMEVENTS</t>
        </is>
      </c>
      <c r="C344" s="415" t="inlineStr">
        <is>
          <t>2025</t>
        </is>
      </c>
      <c r="D344" s="416" t="n"/>
      <c r="E344" s="416" t="n">
        <v>239</v>
      </c>
      <c r="F344" s="416" t="n">
        <v>250</v>
      </c>
      <c r="G344" s="416" t="n"/>
      <c r="H344" s="417" t="n"/>
    </row>
    <row r="345" ht="15" customHeight="1" s="210">
      <c r="A345" s="386">
        <f>LEFT(B345, FIND("-", B345) - 1)</f>
        <v/>
      </c>
      <c r="B345" s="386" t="inlineStr">
        <is>
          <t>PROS-PERMITNUM</t>
        </is>
      </c>
      <c r="C345" s="415" t="inlineStr">
        <is>
          <t>2021</t>
        </is>
      </c>
      <c r="D345" s="416" t="n"/>
      <c r="E345" s="416" t="n">
        <v>171</v>
      </c>
      <c r="F345" s="416" t="n">
        <v>240</v>
      </c>
      <c r="G345" s="416" t="n"/>
      <c r="H345" s="417" t="n"/>
    </row>
    <row r="346" ht="15" customHeight="1" s="210">
      <c r="A346" s="386">
        <f>LEFT(B346, FIND("-", B346) - 1)</f>
        <v/>
      </c>
      <c r="B346" s="386" t="inlineStr">
        <is>
          <t>PROS-PERMITNUM</t>
        </is>
      </c>
      <c r="C346" s="415" t="inlineStr">
        <is>
          <t>2022</t>
        </is>
      </c>
      <c r="D346" s="416" t="n"/>
      <c r="E346" s="416" t="n">
        <v>221</v>
      </c>
      <c r="F346" s="416" t="n">
        <v>240</v>
      </c>
      <c r="G346" s="416" t="n"/>
      <c r="H346" s="417" t="n"/>
    </row>
    <row r="347" ht="15" customHeight="1" s="210">
      <c r="A347" s="386">
        <f>LEFT(B347, FIND("-", B347) - 1)</f>
        <v/>
      </c>
      <c r="B347" s="386" t="inlineStr">
        <is>
          <t>PROS-PERMITNUM</t>
        </is>
      </c>
      <c r="C347" s="415" t="inlineStr">
        <is>
          <t>2023</t>
        </is>
      </c>
      <c r="D347" s="416" t="n"/>
      <c r="E347" s="416" t="n">
        <v>242</v>
      </c>
      <c r="F347" s="416" t="n">
        <v>240</v>
      </c>
      <c r="G347" s="416" t="n"/>
      <c r="H347" s="417" t="n"/>
    </row>
    <row r="348" ht="15" customHeight="1" s="210">
      <c r="A348" s="386">
        <f>LEFT(B348, FIND("-", B348) - 1)</f>
        <v/>
      </c>
      <c r="B348" s="386" t="inlineStr">
        <is>
          <t>PROS-PERMITNUM</t>
        </is>
      </c>
      <c r="C348" s="415" t="inlineStr">
        <is>
          <t>2024</t>
        </is>
      </c>
      <c r="D348" s="416" t="n"/>
      <c r="E348" s="416" t="n">
        <v>239</v>
      </c>
      <c r="F348" s="416" t="n">
        <v>240</v>
      </c>
      <c r="G348" s="416" t="n"/>
      <c r="H348" s="417" t="n"/>
    </row>
    <row r="349" ht="15" customHeight="1" s="210">
      <c r="A349" s="386">
        <f>LEFT(B349, FIND("-", B349) - 1)</f>
        <v/>
      </c>
      <c r="B349" s="386" t="inlineStr">
        <is>
          <t>IT-LIAISONSURV</t>
        </is>
      </c>
      <c r="C349" s="415" t="inlineStr">
        <is>
          <t>2025</t>
        </is>
      </c>
      <c r="D349" s="416" t="n"/>
      <c r="E349" s="416" t="n">
        <v>3.83</v>
      </c>
      <c r="F349" s="416" t="n"/>
      <c r="G349" s="416" t="n"/>
      <c r="H349" s="417" t="inlineStr">
        <is>
          <t>6 responses</t>
        </is>
      </c>
    </row>
    <row r="350" ht="15" customHeight="1" s="210">
      <c r="A350" s="386">
        <f>LEFT(B350, FIND("-", B350) - 1)</f>
        <v/>
      </c>
      <c r="B350" s="386" t="inlineStr">
        <is>
          <t>IT-LIAISONSURV</t>
        </is>
      </c>
      <c r="C350" s="415" t="inlineStr">
        <is>
          <t>2026</t>
        </is>
      </c>
      <c r="D350" s="416" t="n"/>
      <c r="E350" s="416" t="n">
        <v>4.07</v>
      </c>
      <c r="F350" s="416" t="n"/>
      <c r="G350" s="416" t="n"/>
      <c r="H350" s="417" t="inlineStr">
        <is>
          <t>Year to date: 17 responses through Sep 22, 2026</t>
        </is>
      </c>
    </row>
    <row r="351" ht="15" customHeight="1" s="210">
      <c r="A351" s="386">
        <f>LEFT(B351, FIND("-", B351) - 1)</f>
        <v/>
      </c>
      <c r="B351" s="386" t="inlineStr">
        <is>
          <t>IT-LIAISONSURV</t>
        </is>
      </c>
      <c r="C351" s="415" t="inlineStr">
        <is>
          <t>2025</t>
        </is>
      </c>
      <c r="D351" s="416" t="inlineStr">
        <is>
          <t>Understands business needs</t>
        </is>
      </c>
      <c r="E351" s="416" t="n">
        <v>3.67</v>
      </c>
      <c r="F351" s="416" t="n"/>
      <c r="G351" s="416" t="n"/>
      <c r="H351" s="417" t="n"/>
    </row>
    <row r="352" ht="15" customHeight="1" s="210">
      <c r="A352" s="386">
        <f>LEFT(B352, FIND("-", B352) - 1)</f>
        <v/>
      </c>
      <c r="B352" s="386" t="inlineStr">
        <is>
          <t>IT-LIAISONSURV</t>
        </is>
      </c>
      <c r="C352" s="415" t="inlineStr">
        <is>
          <t>2026</t>
        </is>
      </c>
      <c r="D352" s="416" t="inlineStr">
        <is>
          <t>Understands business needs</t>
        </is>
      </c>
      <c r="E352" s="416" t="n">
        <v>4.24</v>
      </c>
      <c r="F352" s="416" t="n"/>
      <c r="G352" s="416" t="n"/>
      <c r="H352" s="417" t="n"/>
    </row>
    <row r="353" ht="15" customHeight="1" s="210">
      <c r="A353" s="386">
        <f>LEFT(B353, FIND("-", B353) - 1)</f>
        <v/>
      </c>
      <c r="B353" s="386" t="inlineStr">
        <is>
          <t>IT-LIAISONSURV</t>
        </is>
      </c>
      <c r="C353" s="415" t="inlineStr">
        <is>
          <t>2025</t>
        </is>
      </c>
      <c r="D353" s="416" t="inlineStr">
        <is>
          <t>Proactive</t>
        </is>
      </c>
      <c r="E353" s="416" t="n">
        <v>3.83</v>
      </c>
      <c r="F353" s="416" t="n"/>
      <c r="G353" s="416" t="n"/>
      <c r="H353" s="417" t="n"/>
    </row>
    <row r="354" ht="15" customHeight="1" s="210">
      <c r="A354" s="386">
        <f>LEFT(B354, FIND("-", B354) - 1)</f>
        <v/>
      </c>
      <c r="B354" s="386" t="inlineStr">
        <is>
          <t>IT-LIAISONSURV</t>
        </is>
      </c>
      <c r="C354" s="415" t="inlineStr">
        <is>
          <t>2026</t>
        </is>
      </c>
      <c r="D354" s="416" t="inlineStr">
        <is>
          <t>Proactive</t>
        </is>
      </c>
      <c r="E354" s="416" t="n">
        <v>4.06</v>
      </c>
      <c r="F354" s="416" t="n"/>
      <c r="G354" s="416" t="n"/>
      <c r="H354" s="417" t="n"/>
    </row>
    <row r="355" ht="15" customHeight="1" s="210">
      <c r="A355" s="386">
        <f>LEFT(B355, FIND("-", B355) - 1)</f>
        <v/>
      </c>
      <c r="B355" s="386" t="inlineStr">
        <is>
          <t>IT-LIAISONSURV</t>
        </is>
      </c>
      <c r="C355" s="415" t="inlineStr">
        <is>
          <t>2025</t>
        </is>
      </c>
      <c r="D355" s="416" t="inlineStr">
        <is>
          <t>Aligned with business goals</t>
        </is>
      </c>
      <c r="E355" s="416" t="n">
        <v>4.33</v>
      </c>
      <c r="F355" s="416" t="n"/>
      <c r="G355" s="416" t="n"/>
      <c r="H355" s="417" t="n"/>
    </row>
    <row r="356" ht="15" customHeight="1" s="210">
      <c r="A356" s="386">
        <f>LEFT(B356, FIND("-", B356) - 1)</f>
        <v/>
      </c>
      <c r="B356" s="386" t="inlineStr">
        <is>
          <t>IT-LIAISONSURV</t>
        </is>
      </c>
      <c r="C356" s="415" t="inlineStr">
        <is>
          <t>2026</t>
        </is>
      </c>
      <c r="D356" s="416" t="inlineStr">
        <is>
          <t>Aligned with business goals</t>
        </is>
      </c>
      <c r="E356" s="416" t="n">
        <v>4.24</v>
      </c>
      <c r="F356" s="416" t="n"/>
      <c r="G356" s="416" t="n"/>
      <c r="H356" s="417" t="n"/>
    </row>
    <row r="357" ht="15" customHeight="1" s="210">
      <c r="A357" s="386">
        <f>LEFT(B357, FIND("-", B357) - 1)</f>
        <v/>
      </c>
      <c r="B357" s="386" t="inlineStr">
        <is>
          <t>IT-LIAISONSURV</t>
        </is>
      </c>
      <c r="C357" s="415" t="inlineStr">
        <is>
          <t>2025</t>
        </is>
      </c>
      <c r="D357" s="416" t="inlineStr">
        <is>
          <t>Innovative</t>
        </is>
      </c>
      <c r="E357" s="416" t="n">
        <v>3.5</v>
      </c>
      <c r="F357" s="416" t="n"/>
      <c r="G357" s="416" t="n"/>
      <c r="H357" s="417" t="n"/>
    </row>
    <row r="358" ht="15" customHeight="1" s="210">
      <c r="A358" s="386">
        <f>LEFT(B358, FIND("-", B358) - 1)</f>
        <v/>
      </c>
      <c r="B358" s="386" t="inlineStr">
        <is>
          <t>IT-LIAISONSURV</t>
        </is>
      </c>
      <c r="C358" s="415" t="inlineStr">
        <is>
          <t>2026</t>
        </is>
      </c>
      <c r="D358" s="416" t="inlineStr">
        <is>
          <t>Innovative</t>
        </is>
      </c>
      <c r="E358" s="416" t="n">
        <v>3.76</v>
      </c>
      <c r="F358" s="416" t="n"/>
      <c r="G358" s="416" t="n"/>
      <c r="H358" s="417" t="n"/>
    </row>
    <row r="359" ht="15" customHeight="1" s="210">
      <c r="A359" s="386">
        <f>LEFT(B359, FIND("-", B359) - 1)</f>
        <v/>
      </c>
      <c r="B359" s="386" t="inlineStr">
        <is>
          <t>IT-APPTICKETS</t>
        </is>
      </c>
      <c r="C359" s="415" t="inlineStr">
        <is>
          <t>2024</t>
        </is>
      </c>
      <c r="D359" s="416" t="n"/>
      <c r="E359" s="416" t="n">
        <v>1919</v>
      </c>
      <c r="F359" s="416" t="n"/>
      <c r="G359" s="416" t="n"/>
      <c r="H359" s="417" t="n"/>
    </row>
    <row r="360" ht="15" customHeight="1" s="210">
      <c r="A360" s="386">
        <f>LEFT(B360, FIND("-", B360) - 1)</f>
        <v/>
      </c>
      <c r="B360" s="386" t="inlineStr">
        <is>
          <t>IT-APPTICKETS</t>
        </is>
      </c>
      <c r="C360" s="415" t="inlineStr">
        <is>
          <t>2024</t>
        </is>
      </c>
      <c r="D360" s="416" t="inlineStr">
        <is>
          <t>Incident</t>
        </is>
      </c>
      <c r="E360" s="416" t="n">
        <v>1456</v>
      </c>
      <c r="F360" s="416" t="n"/>
      <c r="G360" s="416" t="n"/>
      <c r="H360" s="417" t="n"/>
    </row>
    <row r="361" ht="15" customHeight="1" s="210">
      <c r="A361" s="386">
        <f>LEFT(B361, FIND("-", B361) - 1)</f>
        <v/>
      </c>
      <c r="B361" s="386" t="inlineStr">
        <is>
          <t>IT-APPTICKETS</t>
        </is>
      </c>
      <c r="C361" s="415" t="inlineStr">
        <is>
          <t>2024</t>
        </is>
      </c>
      <c r="D361" s="416" t="inlineStr">
        <is>
          <t>Request</t>
        </is>
      </c>
      <c r="E361" s="416" t="n">
        <v>463</v>
      </c>
      <c r="F361" s="416" t="n"/>
      <c r="G361" s="416" t="n"/>
      <c r="H361" s="417" t="n"/>
    </row>
    <row r="362" ht="15" customHeight="1" s="210">
      <c r="A362" s="386">
        <f>LEFT(B362, FIND("-", B362) - 1)</f>
        <v/>
      </c>
      <c r="B362" s="386" t="inlineStr">
        <is>
          <t>IT-APPTICKETS</t>
        </is>
      </c>
      <c r="C362" s="415" t="inlineStr">
        <is>
          <t>2025</t>
        </is>
      </c>
      <c r="D362" s="416" t="n"/>
      <c r="E362" s="416" t="n">
        <v>1710</v>
      </c>
      <c r="F362" s="416" t="n"/>
      <c r="G362" s="416" t="n"/>
      <c r="H362" s="417" t="n"/>
    </row>
    <row r="363" ht="15" customHeight="1" s="210">
      <c r="A363" s="386">
        <f>LEFT(B363, FIND("-", B363) - 1)</f>
        <v/>
      </c>
      <c r="B363" s="386" t="inlineStr">
        <is>
          <t>IT-APPTICKETS</t>
        </is>
      </c>
      <c r="C363" s="415" t="inlineStr">
        <is>
          <t>2025</t>
        </is>
      </c>
      <c r="D363" s="416" t="inlineStr">
        <is>
          <t>Incident</t>
        </is>
      </c>
      <c r="E363" s="416" t="n">
        <v>1176</v>
      </c>
      <c r="F363" s="416" t="n"/>
      <c r="G363" s="416" t="n"/>
      <c r="H363" s="417" t="n"/>
    </row>
    <row r="364" ht="15" customHeight="1" s="210">
      <c r="A364" s="386">
        <f>LEFT(B364, FIND("-", B364) - 1)</f>
        <v/>
      </c>
      <c r="B364" s="386" t="inlineStr">
        <is>
          <t>IT-APPTICKETS</t>
        </is>
      </c>
      <c r="C364" s="415" t="inlineStr">
        <is>
          <t>2025</t>
        </is>
      </c>
      <c r="D364" s="416" t="inlineStr">
        <is>
          <t>Request</t>
        </is>
      </c>
      <c r="E364" s="416" t="n">
        <v>534</v>
      </c>
      <c r="F364" s="416" t="n"/>
      <c r="G364" s="416" t="n"/>
      <c r="H364" s="417" t="n"/>
    </row>
    <row r="365" ht="15" customHeight="1" s="210">
      <c r="A365" s="386">
        <f>LEFT(B365, FIND("-", B365) - 1)</f>
        <v/>
      </c>
      <c r="B365" s="386" t="inlineStr">
        <is>
          <t>IT-APPTICKETS</t>
        </is>
      </c>
      <c r="C365" s="415" t="inlineStr">
        <is>
          <t>2026</t>
        </is>
      </c>
      <c r="D365" s="416" t="n"/>
      <c r="E365" s="416" t="n">
        <v>1353</v>
      </c>
      <c r="F365" s="416" t="n"/>
      <c r="G365" s="416" t="n"/>
      <c r="H365" s="417" t="inlineStr">
        <is>
          <t>Year to date: tickets opened through Oct 21, 2026</t>
        </is>
      </c>
    </row>
    <row r="366" ht="15" customHeight="1" s="210">
      <c r="A366" s="386">
        <f>LEFT(B366, FIND("-", B366) - 1)</f>
        <v/>
      </c>
      <c r="B366" s="386" t="inlineStr">
        <is>
          <t>IT-APPTICKETS</t>
        </is>
      </c>
      <c r="C366" s="415" t="inlineStr">
        <is>
          <t>2026</t>
        </is>
      </c>
      <c r="D366" s="416" t="inlineStr">
        <is>
          <t>Incident</t>
        </is>
      </c>
      <c r="E366" s="416" t="n">
        <v>747</v>
      </c>
      <c r="F366" s="416" t="n"/>
      <c r="G366" s="416" t="n"/>
      <c r="H366" s="417" t="n"/>
    </row>
    <row r="367" ht="15" customHeight="1" s="210">
      <c r="A367" s="386">
        <f>LEFT(B367, FIND("-", B367) - 1)</f>
        <v/>
      </c>
      <c r="B367" s="386" t="inlineStr">
        <is>
          <t>IT-APPTICKETS</t>
        </is>
      </c>
      <c r="C367" s="415" t="inlineStr">
        <is>
          <t>2026</t>
        </is>
      </c>
      <c r="D367" s="416" t="inlineStr">
        <is>
          <t>Request</t>
        </is>
      </c>
      <c r="E367" s="416" t="n">
        <v>606</v>
      </c>
      <c r="F367" s="416" t="n"/>
      <c r="G367" s="416" t="n"/>
      <c r="H367" s="417" t="n"/>
    </row>
    <row r="368" ht="15" customHeight="1" s="210">
      <c r="A368" s="386">
        <f>LEFT(B368, FIND("-", B368) - 1)</f>
        <v/>
      </c>
      <c r="B368" s="386" t="inlineStr">
        <is>
          <t>TRAN-RIDERSHIP</t>
        </is>
      </c>
      <c r="C368" s="415" t="inlineStr">
        <is>
          <t>2019</t>
        </is>
      </c>
      <c r="D368" s="416" t="inlineStr">
        <is>
          <t>Main Ave Trolley</t>
        </is>
      </c>
      <c r="E368" s="416" t="n">
        <v>186786</v>
      </c>
      <c r="F368" s="416" t="n"/>
      <c r="G368" s="416" t="n"/>
      <c r="H368" s="417" t="n"/>
    </row>
    <row r="369" ht="15" customHeight="1" s="210">
      <c r="A369" s="386">
        <f>LEFT(B369, FIND("-", B369) - 1)</f>
        <v/>
      </c>
      <c r="B369" s="386" t="inlineStr">
        <is>
          <t>TRAN-RIDERSHIP</t>
        </is>
      </c>
      <c r="C369" s="415" t="inlineStr">
        <is>
          <t>2019</t>
        </is>
      </c>
      <c r="D369" s="416" t="inlineStr">
        <is>
          <t>Fort Lewis</t>
        </is>
      </c>
      <c r="E369" s="416" t="n">
        <v>89982</v>
      </c>
      <c r="F369" s="416" t="n"/>
      <c r="G369" s="416" t="n"/>
      <c r="H369" s="417" t="n"/>
    </row>
    <row r="370" ht="15" customHeight="1" s="210">
      <c r="A370" s="386">
        <f>LEFT(B370, FIND("-", B370) - 1)</f>
        <v/>
      </c>
      <c r="B370" s="386" t="inlineStr">
        <is>
          <t>TRAN-RIDERSHIP</t>
        </is>
      </c>
      <c r="C370" s="415" t="inlineStr">
        <is>
          <t>2019</t>
        </is>
      </c>
      <c r="D370" s="416" t="inlineStr">
        <is>
          <t>Special Service</t>
        </is>
      </c>
      <c r="E370" s="416" t="n">
        <v>916</v>
      </c>
      <c r="F370" s="416" t="n"/>
      <c r="G370" s="416" t="n"/>
      <c r="H370" s="417" t="n"/>
    </row>
    <row r="371" ht="15" customHeight="1" s="210">
      <c r="A371" s="386">
        <f>LEFT(B371, FIND("-", B371) - 1)</f>
        <v/>
      </c>
      <c r="B371" s="386" t="inlineStr">
        <is>
          <t>TRAN-RIDERSHIP</t>
        </is>
      </c>
      <c r="C371" s="415" t="inlineStr">
        <is>
          <t>2019</t>
        </is>
      </c>
      <c r="D371" s="416" t="inlineStr">
        <is>
          <t>Fort Lewis Express</t>
        </is>
      </c>
      <c r="E371" s="416" t="n">
        <v>1126</v>
      </c>
      <c r="F371" s="416" t="n"/>
      <c r="G371" s="416" t="n"/>
      <c r="H371" s="417" t="n"/>
    </row>
    <row r="372" ht="15" customHeight="1" s="210">
      <c r="A372" s="386">
        <f>LEFT(B372, FIND("-", B372) - 1)</f>
        <v/>
      </c>
      <c r="B372" s="386" t="inlineStr">
        <is>
          <t>TRAN-RIDERSHIP</t>
        </is>
      </c>
      <c r="C372" s="415" t="inlineStr">
        <is>
          <t>2019</t>
        </is>
      </c>
      <c r="D372" s="416" t="inlineStr">
        <is>
          <t>Walmart</t>
        </is>
      </c>
      <c r="E372" s="416" t="n">
        <v>92263</v>
      </c>
      <c r="F372" s="416" t="n"/>
      <c r="G372" s="416" t="n"/>
      <c r="H372" s="417" t="n"/>
    </row>
    <row r="373" ht="15" customHeight="1" s="210">
      <c r="A373" s="386">
        <f>LEFT(B373, FIND("-", B373) - 1)</f>
        <v/>
      </c>
      <c r="B373" s="386" t="inlineStr">
        <is>
          <t>TRAN-RIDERSHIP</t>
        </is>
      </c>
      <c r="C373" s="415" t="inlineStr">
        <is>
          <t>2019</t>
        </is>
      </c>
      <c r="D373" s="416" t="inlineStr">
        <is>
          <t>Mercy / Three Springs</t>
        </is>
      </c>
      <c r="E373" s="416" t="n"/>
      <c r="F373" s="416" t="n"/>
      <c r="G373" s="416" t="n"/>
      <c r="H373" s="417" t="inlineStr">
        <is>
          <t>Route not running this year</t>
        </is>
      </c>
    </row>
    <row r="374" ht="15" customHeight="1" s="210">
      <c r="A374" s="386">
        <f>LEFT(B374, FIND("-", B374) - 1)</f>
        <v/>
      </c>
      <c r="B374" s="386" t="inlineStr">
        <is>
          <t>TRAN-RIDERSHIP</t>
        </is>
      </c>
      <c r="C374" s="415" t="inlineStr">
        <is>
          <t>2019</t>
        </is>
      </c>
      <c r="D374" s="416" t="inlineStr">
        <is>
          <t>Crestview / 160 W</t>
        </is>
      </c>
      <c r="E374" s="416" t="n"/>
      <c r="F374" s="416" t="n"/>
      <c r="G374" s="416" t="n"/>
      <c r="H374" s="417" t="inlineStr">
        <is>
          <t>Route not running this year</t>
        </is>
      </c>
    </row>
    <row r="375" ht="15" customHeight="1" s="210">
      <c r="A375" s="386">
        <f>LEFT(B375, FIND("-", B375) - 1)</f>
        <v/>
      </c>
      <c r="B375" s="386" t="inlineStr">
        <is>
          <t>TRAN-RIDERSHIP</t>
        </is>
      </c>
      <c r="C375" s="415" t="inlineStr">
        <is>
          <t>2020</t>
        </is>
      </c>
      <c r="D375" s="416" t="inlineStr">
        <is>
          <t>Main Ave Trolley</t>
        </is>
      </c>
      <c r="E375" s="416" t="n">
        <v>113586</v>
      </c>
      <c r="F375" s="416" t="n"/>
      <c r="G375" s="416" t="n"/>
      <c r="H375" s="417" t="n"/>
    </row>
    <row r="376" ht="15" customHeight="1" s="210">
      <c r="A376" s="386">
        <f>LEFT(B376, FIND("-", B376) - 1)</f>
        <v/>
      </c>
      <c r="B376" s="386" t="inlineStr">
        <is>
          <t>TRAN-RIDERSHIP</t>
        </is>
      </c>
      <c r="C376" s="415" t="inlineStr">
        <is>
          <t>2020</t>
        </is>
      </c>
      <c r="D376" s="416" t="inlineStr">
        <is>
          <t>Fort Lewis</t>
        </is>
      </c>
      <c r="E376" s="416" t="n">
        <v>57212</v>
      </c>
      <c r="F376" s="416" t="n"/>
      <c r="G376" s="416" t="n"/>
      <c r="H376" s="417" t="n"/>
    </row>
    <row r="377" ht="15" customHeight="1" s="210">
      <c r="A377" s="386">
        <f>LEFT(B377, FIND("-", B377) - 1)</f>
        <v/>
      </c>
      <c r="B377" s="386" t="inlineStr">
        <is>
          <t>TRAN-RIDERSHIP</t>
        </is>
      </c>
      <c r="C377" s="415" t="inlineStr">
        <is>
          <t>2020</t>
        </is>
      </c>
      <c r="D377" s="416" t="inlineStr">
        <is>
          <t>Special Service</t>
        </is>
      </c>
      <c r="E377" s="416" t="n">
        <v>448</v>
      </c>
      <c r="F377" s="416" t="n"/>
      <c r="G377" s="416" t="n"/>
      <c r="H377" s="417" t="n"/>
    </row>
    <row r="378" ht="15" customHeight="1" s="210">
      <c r="A378" s="386">
        <f>LEFT(B378, FIND("-", B378) - 1)</f>
        <v/>
      </c>
      <c r="B378" s="386" t="inlineStr">
        <is>
          <t>TRAN-RIDERSHIP</t>
        </is>
      </c>
      <c r="C378" s="415" t="inlineStr">
        <is>
          <t>2020</t>
        </is>
      </c>
      <c r="D378" s="416" t="inlineStr">
        <is>
          <t>Fort Lewis Express</t>
        </is>
      </c>
      <c r="E378" s="416" t="n">
        <v>497</v>
      </c>
      <c r="F378" s="416" t="n"/>
      <c r="G378" s="416" t="n"/>
      <c r="H378" s="417" t="n"/>
    </row>
    <row r="379" ht="15" customHeight="1" s="210">
      <c r="A379" s="386">
        <f>LEFT(B379, FIND("-", B379) - 1)</f>
        <v/>
      </c>
      <c r="B379" s="386" t="inlineStr">
        <is>
          <t>TRAN-RIDERSHIP</t>
        </is>
      </c>
      <c r="C379" s="415" t="inlineStr">
        <is>
          <t>2020</t>
        </is>
      </c>
      <c r="D379" s="416" t="inlineStr">
        <is>
          <t>Walmart</t>
        </is>
      </c>
      <c r="E379" s="416" t="n">
        <v>59416</v>
      </c>
      <c r="F379" s="416" t="n"/>
      <c r="G379" s="416" t="n"/>
      <c r="H379" s="417" t="n"/>
    </row>
    <row r="380" ht="15" customHeight="1" s="210">
      <c r="A380" s="386">
        <f>LEFT(B380, FIND("-", B380) - 1)</f>
        <v/>
      </c>
      <c r="B380" s="386" t="inlineStr">
        <is>
          <t>TRAN-RIDERSHIP</t>
        </is>
      </c>
      <c r="C380" s="415" t="inlineStr">
        <is>
          <t>2020</t>
        </is>
      </c>
      <c r="D380" s="416" t="inlineStr">
        <is>
          <t>Mercy / Three Springs</t>
        </is>
      </c>
      <c r="E380" s="416" t="n"/>
      <c r="F380" s="416" t="n"/>
      <c r="G380" s="416" t="n"/>
      <c r="H380" s="417" t="inlineStr">
        <is>
          <t>Route not running this year</t>
        </is>
      </c>
    </row>
    <row r="381" ht="15" customHeight="1" s="210">
      <c r="A381" s="386">
        <f>LEFT(B381, FIND("-", B381) - 1)</f>
        <v/>
      </c>
      <c r="B381" s="386" t="inlineStr">
        <is>
          <t>TRAN-RIDERSHIP</t>
        </is>
      </c>
      <c r="C381" s="415" t="inlineStr">
        <is>
          <t>2020</t>
        </is>
      </c>
      <c r="D381" s="416" t="inlineStr">
        <is>
          <t>Crestview / 160 W</t>
        </is>
      </c>
      <c r="E381" s="416" t="n"/>
      <c r="F381" s="416" t="n"/>
      <c r="G381" s="416" t="n"/>
      <c r="H381" s="417" t="inlineStr">
        <is>
          <t>Route not running this year</t>
        </is>
      </c>
    </row>
    <row r="382" ht="15" customHeight="1" s="210">
      <c r="A382" s="386">
        <f>LEFT(B382, FIND("-", B382) - 1)</f>
        <v/>
      </c>
      <c r="B382" s="386" t="inlineStr">
        <is>
          <t>TRAN-RIDERSHIP</t>
        </is>
      </c>
      <c r="C382" s="415" t="inlineStr">
        <is>
          <t>2021</t>
        </is>
      </c>
      <c r="D382" s="416" t="inlineStr">
        <is>
          <t>Main Ave Trolley</t>
        </is>
      </c>
      <c r="E382" s="416" t="n">
        <v>112426</v>
      </c>
      <c r="F382" s="416" t="n"/>
      <c r="G382" s="416" t="n"/>
      <c r="H382" s="417" t="n"/>
    </row>
    <row r="383" ht="15" customHeight="1" s="210">
      <c r="A383" s="386">
        <f>LEFT(B383, FIND("-", B383) - 1)</f>
        <v/>
      </c>
      <c r="B383" s="386" t="inlineStr">
        <is>
          <t>TRAN-RIDERSHIP</t>
        </is>
      </c>
      <c r="C383" s="415" t="inlineStr">
        <is>
          <t>2021</t>
        </is>
      </c>
      <c r="D383" s="416" t="inlineStr">
        <is>
          <t>Fort Lewis</t>
        </is>
      </c>
      <c r="E383" s="416" t="n">
        <v>55392</v>
      </c>
      <c r="F383" s="416" t="n"/>
      <c r="G383" s="416" t="n"/>
      <c r="H383" s="417" t="n"/>
    </row>
    <row r="384" ht="15" customHeight="1" s="210">
      <c r="A384" s="386">
        <f>LEFT(B384, FIND("-", B384) - 1)</f>
        <v/>
      </c>
      <c r="B384" s="386" t="inlineStr">
        <is>
          <t>TRAN-RIDERSHIP</t>
        </is>
      </c>
      <c r="C384" s="415" t="inlineStr">
        <is>
          <t>2021</t>
        </is>
      </c>
      <c r="D384" s="416" t="inlineStr">
        <is>
          <t>Special Service</t>
        </is>
      </c>
      <c r="E384" s="416" t="n">
        <v>167</v>
      </c>
      <c r="F384" s="416" t="n"/>
      <c r="G384" s="416" t="n"/>
      <c r="H384" s="417" t="n"/>
    </row>
    <row r="385" ht="15" customHeight="1" s="210">
      <c r="A385" s="386">
        <f>LEFT(B385, FIND("-", B385) - 1)</f>
        <v/>
      </c>
      <c r="B385" s="386" t="inlineStr">
        <is>
          <t>TRAN-RIDERSHIP</t>
        </is>
      </c>
      <c r="C385" s="415" t="inlineStr">
        <is>
          <t>2021</t>
        </is>
      </c>
      <c r="D385" s="416" t="inlineStr">
        <is>
          <t>Fort Lewis Express</t>
        </is>
      </c>
      <c r="E385" s="416" t="n">
        <v>557</v>
      </c>
      <c r="F385" s="416" t="n"/>
      <c r="G385" s="416" t="n"/>
      <c r="H385" s="417" t="n"/>
    </row>
    <row r="386" ht="15" customHeight="1" s="210">
      <c r="A386" s="386">
        <f>LEFT(B386, FIND("-", B386) - 1)</f>
        <v/>
      </c>
      <c r="B386" s="386" t="inlineStr">
        <is>
          <t>TRAN-RIDERSHIP</t>
        </is>
      </c>
      <c r="C386" s="415" t="inlineStr">
        <is>
          <t>2021</t>
        </is>
      </c>
      <c r="D386" s="416" t="inlineStr">
        <is>
          <t>Walmart</t>
        </is>
      </c>
      <c r="E386" s="416" t="n">
        <v>72462</v>
      </c>
      <c r="F386" s="416" t="n"/>
      <c r="G386" s="416" t="n"/>
      <c r="H386" s="417" t="n"/>
    </row>
    <row r="387" ht="15" customHeight="1" s="210">
      <c r="A387" s="386">
        <f>LEFT(B387, FIND("-", B387) - 1)</f>
        <v/>
      </c>
      <c r="B387" s="386" t="inlineStr">
        <is>
          <t>TRAN-RIDERSHIP</t>
        </is>
      </c>
      <c r="C387" s="415" t="inlineStr">
        <is>
          <t>2021</t>
        </is>
      </c>
      <c r="D387" s="416" t="inlineStr">
        <is>
          <t>Mercy / Three Springs</t>
        </is>
      </c>
      <c r="E387" s="416" t="n"/>
      <c r="F387" s="416" t="n"/>
      <c r="G387" s="416" t="n"/>
      <c r="H387" s="417" t="inlineStr">
        <is>
          <t>Route not running this year</t>
        </is>
      </c>
    </row>
    <row r="388" ht="15" customHeight="1" s="210">
      <c r="A388" s="386">
        <f>LEFT(B388, FIND("-", B388) - 1)</f>
        <v/>
      </c>
      <c r="B388" s="386" t="inlineStr">
        <is>
          <t>TRAN-RIDERSHIP</t>
        </is>
      </c>
      <c r="C388" s="415" t="inlineStr">
        <is>
          <t>2021</t>
        </is>
      </c>
      <c r="D388" s="416" t="inlineStr">
        <is>
          <t>Crestview / 160 W</t>
        </is>
      </c>
      <c r="E388" s="416" t="n"/>
      <c r="F388" s="416" t="n"/>
      <c r="G388" s="416" t="n"/>
      <c r="H388" s="417" t="inlineStr">
        <is>
          <t>Route not running this year</t>
        </is>
      </c>
    </row>
    <row r="389" ht="15" customHeight="1" s="210">
      <c r="A389" s="386">
        <f>LEFT(B389, FIND("-", B389) - 1)</f>
        <v/>
      </c>
      <c r="B389" s="386" t="inlineStr">
        <is>
          <t>TRAN-RIDERSHIP</t>
        </is>
      </c>
      <c r="C389" s="415" t="inlineStr">
        <is>
          <t>2022</t>
        </is>
      </c>
      <c r="D389" s="416" t="inlineStr">
        <is>
          <t>Main Ave Trolley</t>
        </is>
      </c>
      <c r="E389" s="416" t="n">
        <v>134456</v>
      </c>
      <c r="F389" s="416" t="n"/>
      <c r="G389" s="416" t="n"/>
      <c r="H389" s="417" t="n"/>
    </row>
    <row r="390" ht="15" customHeight="1" s="210">
      <c r="A390" s="386">
        <f>LEFT(B390, FIND("-", B390) - 1)</f>
        <v/>
      </c>
      <c r="B390" s="386" t="inlineStr">
        <is>
          <t>TRAN-RIDERSHIP</t>
        </is>
      </c>
      <c r="C390" s="415" t="inlineStr">
        <is>
          <t>2022</t>
        </is>
      </c>
      <c r="D390" s="416" t="inlineStr">
        <is>
          <t>Fort Lewis</t>
        </is>
      </c>
      <c r="E390" s="416" t="n">
        <v>80220</v>
      </c>
      <c r="F390" s="416" t="n"/>
      <c r="G390" s="416" t="n"/>
      <c r="H390" s="417" t="n"/>
    </row>
    <row r="391" ht="15" customHeight="1" s="210">
      <c r="A391" s="386">
        <f>LEFT(B391, FIND("-", B391) - 1)</f>
        <v/>
      </c>
      <c r="B391" s="386" t="inlineStr">
        <is>
          <t>TRAN-RIDERSHIP</t>
        </is>
      </c>
      <c r="C391" s="415" t="inlineStr">
        <is>
          <t>2022</t>
        </is>
      </c>
      <c r="D391" s="416" t="inlineStr">
        <is>
          <t>Special Service</t>
        </is>
      </c>
      <c r="E391" s="416" t="n">
        <v>620</v>
      </c>
      <c r="F391" s="416" t="n"/>
      <c r="G391" s="416" t="n"/>
      <c r="H391" s="417" t="n"/>
    </row>
    <row r="392" ht="15" customHeight="1" s="210">
      <c r="A392" s="386">
        <f>LEFT(B392, FIND("-", B392) - 1)</f>
        <v/>
      </c>
      <c r="B392" s="386" t="inlineStr">
        <is>
          <t>TRAN-RIDERSHIP</t>
        </is>
      </c>
      <c r="C392" s="415" t="inlineStr">
        <is>
          <t>2022</t>
        </is>
      </c>
      <c r="D392" s="416" t="inlineStr">
        <is>
          <t>Fort Lewis Express</t>
        </is>
      </c>
      <c r="E392" s="416" t="n">
        <v>577</v>
      </c>
      <c r="F392" s="416" t="n"/>
      <c r="G392" s="416" t="n"/>
      <c r="H392" s="417" t="n"/>
    </row>
    <row r="393" ht="15" customHeight="1" s="210">
      <c r="A393" s="386">
        <f>LEFT(B393, FIND("-", B393) - 1)</f>
        <v/>
      </c>
      <c r="B393" s="386" t="inlineStr">
        <is>
          <t>TRAN-RIDERSHIP</t>
        </is>
      </c>
      <c r="C393" s="415" t="inlineStr">
        <is>
          <t>2022</t>
        </is>
      </c>
      <c r="D393" s="416" t="inlineStr">
        <is>
          <t>Walmart</t>
        </is>
      </c>
      <c r="E393" s="416" t="n">
        <v>102092</v>
      </c>
      <c r="F393" s="416" t="n"/>
      <c r="G393" s="416" t="n"/>
      <c r="H393" s="417" t="n"/>
    </row>
    <row r="394" ht="15" customHeight="1" s="210">
      <c r="A394" s="386">
        <f>LEFT(B394, FIND("-", B394) - 1)</f>
        <v/>
      </c>
      <c r="B394" s="386" t="inlineStr">
        <is>
          <t>TRAN-RIDERSHIP</t>
        </is>
      </c>
      <c r="C394" s="415" t="inlineStr">
        <is>
          <t>2022</t>
        </is>
      </c>
      <c r="D394" s="416" t="inlineStr">
        <is>
          <t>Mercy / Three Springs</t>
        </is>
      </c>
      <c r="E394" s="416" t="n"/>
      <c r="F394" s="416" t="n"/>
      <c r="G394" s="416" t="n"/>
      <c r="H394" s="417" t="inlineStr">
        <is>
          <t>Route not running this year</t>
        </is>
      </c>
    </row>
    <row r="395" ht="15" customHeight="1" s="210">
      <c r="A395" s="386">
        <f>LEFT(B395, FIND("-", B395) - 1)</f>
        <v/>
      </c>
      <c r="B395" s="386" t="inlineStr">
        <is>
          <t>TRAN-RIDERSHIP</t>
        </is>
      </c>
      <c r="C395" s="415" t="inlineStr">
        <is>
          <t>2022</t>
        </is>
      </c>
      <c r="D395" s="416" t="inlineStr">
        <is>
          <t>Crestview / 160 W</t>
        </is>
      </c>
      <c r="E395" s="416" t="n">
        <v>24400</v>
      </c>
      <c r="F395" s="416" t="n"/>
      <c r="G395" s="416" t="n"/>
      <c r="H395" s="417" t="n"/>
    </row>
    <row r="396" ht="15" customHeight="1" s="210">
      <c r="A396" s="386">
        <f>LEFT(B396, FIND("-", B396) - 1)</f>
        <v/>
      </c>
      <c r="B396" s="386" t="inlineStr">
        <is>
          <t>TRAN-RIDERSHIP</t>
        </is>
      </c>
      <c r="C396" s="415" t="inlineStr">
        <is>
          <t>2023</t>
        </is>
      </c>
      <c r="D396" s="416" t="inlineStr">
        <is>
          <t>Main Ave Trolley</t>
        </is>
      </c>
      <c r="E396" s="416" t="n">
        <v>170746</v>
      </c>
      <c r="F396" s="416" t="n"/>
      <c r="G396" s="416" t="n"/>
      <c r="H396" s="417" t="n"/>
    </row>
    <row r="397" ht="15" customHeight="1" s="210">
      <c r="A397" s="386">
        <f>LEFT(B397, FIND("-", B397) - 1)</f>
        <v/>
      </c>
      <c r="B397" s="386" t="inlineStr">
        <is>
          <t>TRAN-RIDERSHIP</t>
        </is>
      </c>
      <c r="C397" s="415" t="inlineStr">
        <is>
          <t>2023</t>
        </is>
      </c>
      <c r="D397" s="416" t="inlineStr">
        <is>
          <t>Fort Lewis</t>
        </is>
      </c>
      <c r="E397" s="416" t="n">
        <v>88299</v>
      </c>
      <c r="F397" s="416" t="n"/>
      <c r="G397" s="416" t="n"/>
      <c r="H397" s="417" t="n"/>
    </row>
    <row r="398" ht="15" customHeight="1" s="210">
      <c r="A398" s="386">
        <f>LEFT(B398, FIND("-", B398) - 1)</f>
        <v/>
      </c>
      <c r="B398" s="386" t="inlineStr">
        <is>
          <t>TRAN-RIDERSHIP</t>
        </is>
      </c>
      <c r="C398" s="415" t="inlineStr">
        <is>
          <t>2023</t>
        </is>
      </c>
      <c r="D398" s="416" t="inlineStr">
        <is>
          <t>Special Service</t>
        </is>
      </c>
      <c r="E398" s="416" t="n">
        <v>990</v>
      </c>
      <c r="F398" s="416" t="n"/>
      <c r="G398" s="416" t="n"/>
      <c r="H398" s="417" t="n"/>
    </row>
    <row r="399" ht="15" customHeight="1" s="210">
      <c r="A399" s="386">
        <f>LEFT(B399, FIND("-", B399) - 1)</f>
        <v/>
      </c>
      <c r="B399" s="386" t="inlineStr">
        <is>
          <t>TRAN-RIDERSHIP</t>
        </is>
      </c>
      <c r="C399" s="415" t="inlineStr">
        <is>
          <t>2023</t>
        </is>
      </c>
      <c r="D399" s="416" t="inlineStr">
        <is>
          <t>Fort Lewis Express</t>
        </is>
      </c>
      <c r="E399" s="416" t="n">
        <v>549</v>
      </c>
      <c r="F399" s="416" t="n"/>
      <c r="G399" s="416" t="n"/>
      <c r="H399" s="417" t="n"/>
    </row>
    <row r="400" ht="15" customHeight="1" s="210">
      <c r="A400" s="386">
        <f>LEFT(B400, FIND("-", B400) - 1)</f>
        <v/>
      </c>
      <c r="B400" s="386" t="inlineStr">
        <is>
          <t>TRAN-RIDERSHIP</t>
        </is>
      </c>
      <c r="C400" s="415" t="inlineStr">
        <is>
          <t>2023</t>
        </is>
      </c>
      <c r="D400" s="416" t="inlineStr">
        <is>
          <t>Walmart</t>
        </is>
      </c>
      <c r="E400" s="416" t="n">
        <v>121613</v>
      </c>
      <c r="F400" s="416" t="n"/>
      <c r="G400" s="416" t="n"/>
      <c r="H400" s="417" t="n"/>
    </row>
    <row r="401" ht="15" customHeight="1" s="210">
      <c r="A401" s="386">
        <f>LEFT(B401, FIND("-", B401) - 1)</f>
        <v/>
      </c>
      <c r="B401" s="386" t="inlineStr">
        <is>
          <t>TRAN-RIDERSHIP</t>
        </is>
      </c>
      <c r="C401" s="415" t="inlineStr">
        <is>
          <t>2023</t>
        </is>
      </c>
      <c r="D401" s="416" t="inlineStr">
        <is>
          <t>Mercy / Three Springs</t>
        </is>
      </c>
      <c r="E401" s="416" t="n"/>
      <c r="F401" s="416" t="n"/>
      <c r="G401" s="416" t="n"/>
      <c r="H401" s="417" t="inlineStr">
        <is>
          <t>Route not running this year</t>
        </is>
      </c>
    </row>
    <row r="402" ht="15" customHeight="1" s="210">
      <c r="A402" s="386">
        <f>LEFT(B402, FIND("-", B402) - 1)</f>
        <v/>
      </c>
      <c r="B402" s="386" t="inlineStr">
        <is>
          <t>TRAN-RIDERSHIP</t>
        </is>
      </c>
      <c r="C402" s="415" t="inlineStr">
        <is>
          <t>2023</t>
        </is>
      </c>
      <c r="D402" s="416" t="inlineStr">
        <is>
          <t>Crestview / 160 W</t>
        </is>
      </c>
      <c r="E402" s="416" t="n">
        <v>43625</v>
      </c>
      <c r="F402" s="416" t="n"/>
      <c r="G402" s="416" t="n"/>
      <c r="H402" s="417" t="n"/>
    </row>
    <row r="403" ht="15" customHeight="1" s="210">
      <c r="A403" s="386">
        <f>LEFT(B403, FIND("-", B403) - 1)</f>
        <v/>
      </c>
      <c r="B403" s="386" t="inlineStr">
        <is>
          <t>TRAN-RIDERSHIP</t>
        </is>
      </c>
      <c r="C403" s="415" t="inlineStr">
        <is>
          <t>2024</t>
        </is>
      </c>
      <c r="D403" s="416" t="inlineStr">
        <is>
          <t>Main Ave Trolley</t>
        </is>
      </c>
      <c r="E403" s="416" t="n">
        <v>167578</v>
      </c>
      <c r="F403" s="416" t="n"/>
      <c r="G403" s="416" t="n"/>
      <c r="H403" s="417" t="n"/>
    </row>
    <row r="404" ht="15" customHeight="1" s="210">
      <c r="A404" s="386">
        <f>LEFT(B404, FIND("-", B404) - 1)</f>
        <v/>
      </c>
      <c r="B404" s="386" t="inlineStr">
        <is>
          <t>TRAN-RIDERSHIP</t>
        </is>
      </c>
      <c r="C404" s="415" t="inlineStr">
        <is>
          <t>2024</t>
        </is>
      </c>
      <c r="D404" s="416" t="inlineStr">
        <is>
          <t>Fort Lewis</t>
        </is>
      </c>
      <c r="E404" s="416" t="n">
        <v>89262</v>
      </c>
      <c r="F404" s="416" t="n"/>
      <c r="G404" s="416" t="n"/>
      <c r="H404" s="417" t="n"/>
    </row>
    <row r="405" ht="15" customHeight="1" s="210">
      <c r="A405" s="386">
        <f>LEFT(B405, FIND("-", B405) - 1)</f>
        <v/>
      </c>
      <c r="B405" s="386" t="inlineStr">
        <is>
          <t>TRAN-RIDERSHIP</t>
        </is>
      </c>
      <c r="C405" s="415" t="inlineStr">
        <is>
          <t>2024</t>
        </is>
      </c>
      <c r="D405" s="416" t="inlineStr">
        <is>
          <t>Special Service</t>
        </is>
      </c>
      <c r="E405" s="416" t="n">
        <v>1392</v>
      </c>
      <c r="F405" s="416" t="n"/>
      <c r="G405" s="416" t="n"/>
      <c r="H405" s="417" t="n"/>
    </row>
    <row r="406" ht="15" customHeight="1" s="210">
      <c r="A406" s="386">
        <f>LEFT(B406, FIND("-", B406) - 1)</f>
        <v/>
      </c>
      <c r="B406" s="386" t="inlineStr">
        <is>
          <t>TRAN-RIDERSHIP</t>
        </is>
      </c>
      <c r="C406" s="415" t="inlineStr">
        <is>
          <t>2024</t>
        </is>
      </c>
      <c r="D406" s="416" t="inlineStr">
        <is>
          <t>Fort Lewis Express</t>
        </is>
      </c>
      <c r="E406" s="416" t="n">
        <v>604</v>
      </c>
      <c r="F406" s="416" t="n"/>
      <c r="G406" s="416" t="n"/>
      <c r="H406" s="417" t="n"/>
    </row>
    <row r="407" ht="15" customHeight="1" s="210">
      <c r="A407" s="386">
        <f>LEFT(B407, FIND("-", B407) - 1)</f>
        <v/>
      </c>
      <c r="B407" s="386" t="inlineStr">
        <is>
          <t>TRAN-RIDERSHIP</t>
        </is>
      </c>
      <c r="C407" s="415" t="inlineStr">
        <is>
          <t>2024</t>
        </is>
      </c>
      <c r="D407" s="416" t="inlineStr">
        <is>
          <t>Walmart</t>
        </is>
      </c>
      <c r="E407" s="416" t="n">
        <v>128355</v>
      </c>
      <c r="F407" s="416" t="n"/>
      <c r="G407" s="416" t="n"/>
      <c r="H407" s="417" t="n"/>
    </row>
    <row r="408" ht="15" customHeight="1" s="210">
      <c r="A408" s="386">
        <f>LEFT(B408, FIND("-", B408) - 1)</f>
        <v/>
      </c>
      <c r="B408" s="386" t="inlineStr">
        <is>
          <t>TRAN-RIDERSHIP</t>
        </is>
      </c>
      <c r="C408" s="415" t="inlineStr">
        <is>
          <t>2024</t>
        </is>
      </c>
      <c r="D408" s="416" t="inlineStr">
        <is>
          <t>Mercy / Three Springs</t>
        </is>
      </c>
      <c r="E408" s="416" t="n"/>
      <c r="F408" s="416" t="n"/>
      <c r="G408" s="416" t="n"/>
      <c r="H408" s="417" t="inlineStr">
        <is>
          <t>Route not running this year</t>
        </is>
      </c>
    </row>
    <row r="409" ht="15" customHeight="1" s="210">
      <c r="A409" s="386">
        <f>LEFT(B409, FIND("-", B409) - 1)</f>
        <v/>
      </c>
      <c r="B409" s="386" t="inlineStr">
        <is>
          <t>TRAN-RIDERSHIP</t>
        </is>
      </c>
      <c r="C409" s="415" t="inlineStr">
        <is>
          <t>2024</t>
        </is>
      </c>
      <c r="D409" s="416" t="inlineStr">
        <is>
          <t>Crestview / 160 W</t>
        </is>
      </c>
      <c r="E409" s="416" t="n">
        <v>51456</v>
      </c>
      <c r="F409" s="416" t="n"/>
      <c r="G409" s="416" t="n"/>
      <c r="H409" s="417" t="n"/>
    </row>
    <row r="410" ht="15" customHeight="1" s="210">
      <c r="A410" s="386">
        <f>LEFT(B410, FIND("-", B410) - 1)</f>
        <v/>
      </c>
      <c r="B410" s="386" t="inlineStr">
        <is>
          <t>TRAN-RIDERSHIP</t>
        </is>
      </c>
      <c r="C410" s="415" t="inlineStr">
        <is>
          <t>2025</t>
        </is>
      </c>
      <c r="D410" s="416" t="inlineStr">
        <is>
          <t>Main Ave Trolley</t>
        </is>
      </c>
      <c r="E410" s="416" t="n">
        <v>159594</v>
      </c>
      <c r="F410" s="416" t="n"/>
      <c r="G410" s="416" t="n"/>
      <c r="H410" s="417" t="n"/>
    </row>
    <row r="411" ht="15" customHeight="1" s="210">
      <c r="A411" s="386">
        <f>LEFT(B411, FIND("-", B411) - 1)</f>
        <v/>
      </c>
      <c r="B411" s="386" t="inlineStr">
        <is>
          <t>TRAN-RIDERSHIP</t>
        </is>
      </c>
      <c r="C411" s="415" t="inlineStr">
        <is>
          <t>2025</t>
        </is>
      </c>
      <c r="D411" s="416" t="inlineStr">
        <is>
          <t>Fort Lewis</t>
        </is>
      </c>
      <c r="E411" s="416" t="n">
        <v>86849</v>
      </c>
      <c r="F411" s="416" t="n"/>
      <c r="G411" s="416" t="n"/>
      <c r="H411" s="417" t="n"/>
    </row>
    <row r="412" ht="15" customHeight="1" s="210">
      <c r="A412" s="386">
        <f>LEFT(B412, FIND("-", B412) - 1)</f>
        <v/>
      </c>
      <c r="B412" s="386" t="inlineStr">
        <is>
          <t>TRAN-RIDERSHIP</t>
        </is>
      </c>
      <c r="C412" s="415" t="inlineStr">
        <is>
          <t>2025</t>
        </is>
      </c>
      <c r="D412" s="416" t="inlineStr">
        <is>
          <t>Special Service</t>
        </is>
      </c>
      <c r="E412" s="416" t="n">
        <v>871</v>
      </c>
      <c r="F412" s="416" t="n"/>
      <c r="G412" s="416" t="n"/>
      <c r="H412" s="417" t="n"/>
    </row>
    <row r="413" ht="15" customHeight="1" s="210">
      <c r="A413" s="386">
        <f>LEFT(B413, FIND("-", B413) - 1)</f>
        <v/>
      </c>
      <c r="B413" s="386" t="inlineStr">
        <is>
          <t>TRAN-RIDERSHIP</t>
        </is>
      </c>
      <c r="C413" s="415" t="inlineStr">
        <is>
          <t>2025</t>
        </is>
      </c>
      <c r="D413" s="416" t="inlineStr">
        <is>
          <t>Fort Lewis Express</t>
        </is>
      </c>
      <c r="E413" s="416" t="n">
        <v>559</v>
      </c>
      <c r="F413" s="416" t="n"/>
      <c r="G413" s="416" t="n"/>
      <c r="H413" s="417" t="n"/>
    </row>
    <row r="414" ht="15" customHeight="1" s="210">
      <c r="A414" s="386">
        <f>LEFT(B414, FIND("-", B414) - 1)</f>
        <v/>
      </c>
      <c r="B414" s="386" t="inlineStr">
        <is>
          <t>TRAN-RIDERSHIP</t>
        </is>
      </c>
      <c r="C414" s="415" t="inlineStr">
        <is>
          <t>2025</t>
        </is>
      </c>
      <c r="D414" s="416" t="inlineStr">
        <is>
          <t>Walmart</t>
        </is>
      </c>
      <c r="E414" s="416" t="n">
        <v>130093</v>
      </c>
      <c r="F414" s="416" t="n"/>
      <c r="G414" s="416" t="n"/>
      <c r="H414" s="417" t="n"/>
    </row>
    <row r="415" ht="15" customHeight="1" s="210">
      <c r="A415" s="386">
        <f>LEFT(B415, FIND("-", B415) - 1)</f>
        <v/>
      </c>
      <c r="B415" s="386" t="inlineStr">
        <is>
          <t>TRAN-RIDERSHIP</t>
        </is>
      </c>
      <c r="C415" s="415" t="inlineStr">
        <is>
          <t>2025</t>
        </is>
      </c>
      <c r="D415" s="416" t="inlineStr">
        <is>
          <t>Mercy / Three Springs</t>
        </is>
      </c>
      <c r="E415" s="416" t="n"/>
      <c r="F415" s="416" t="n"/>
      <c r="G415" s="416" t="n"/>
      <c r="H415" s="417" t="inlineStr">
        <is>
          <t>Route not running this year</t>
        </is>
      </c>
    </row>
    <row r="416" ht="15" customHeight="1" s="210">
      <c r="A416" s="386">
        <f>LEFT(B416, FIND("-", B416) - 1)</f>
        <v/>
      </c>
      <c r="B416" s="386" t="inlineStr">
        <is>
          <t>TRAN-RIDERSHIP</t>
        </is>
      </c>
      <c r="C416" s="415" t="inlineStr">
        <is>
          <t>2025</t>
        </is>
      </c>
      <c r="D416" s="416" t="inlineStr">
        <is>
          <t>Crestview / 160 W</t>
        </is>
      </c>
      <c r="E416" s="416" t="n">
        <v>59762</v>
      </c>
      <c r="F416" s="416" t="n"/>
      <c r="G416" s="416" t="n"/>
      <c r="H416" s="417" t="n"/>
    </row>
    <row r="417" ht="15" customHeight="1" s="210">
      <c r="A417" s="386">
        <f>LEFT(B417, FIND("-", B417) - 1)</f>
        <v/>
      </c>
      <c r="B417" s="386" t="inlineStr">
        <is>
          <t>TRAN-RIDERSHIP</t>
        </is>
      </c>
      <c r="C417" s="415" t="inlineStr">
        <is>
          <t>2026</t>
        </is>
      </c>
      <c r="D417" s="416" t="inlineStr">
        <is>
          <t>Main Ave Trolley</t>
        </is>
      </c>
      <c r="E417" s="416" t="n">
        <v>125843</v>
      </c>
      <c r="F417" s="416" t="n"/>
      <c r="G417" s="416" t="n"/>
      <c r="H417" s="417" t="inlineStr">
        <is>
          <t>2026 covers January–September only (year to date).</t>
        </is>
      </c>
    </row>
    <row r="418" ht="15" customHeight="1" s="210">
      <c r="A418" s="386">
        <f>LEFT(B418, FIND("-", B418) - 1)</f>
        <v/>
      </c>
      <c r="B418" s="386" t="inlineStr">
        <is>
          <t>TRAN-RIDERSHIP</t>
        </is>
      </c>
      <c r="C418" s="415" t="inlineStr">
        <is>
          <t>2026</t>
        </is>
      </c>
      <c r="D418" s="416" t="inlineStr">
        <is>
          <t>Fort Lewis</t>
        </is>
      </c>
      <c r="E418" s="416" t="n">
        <v>73935</v>
      </c>
      <c r="F418" s="416" t="n"/>
      <c r="G418" s="416" t="n"/>
      <c r="H418" s="417" t="inlineStr">
        <is>
          <t>2026 covers January–September only (year to date).</t>
        </is>
      </c>
    </row>
    <row r="419" ht="15" customHeight="1" s="210">
      <c r="A419" s="386">
        <f>LEFT(B419, FIND("-", B419) - 1)</f>
        <v/>
      </c>
      <c r="B419" s="386" t="inlineStr">
        <is>
          <t>TRAN-RIDERSHIP</t>
        </is>
      </c>
      <c r="C419" s="415" t="inlineStr">
        <is>
          <t>2026</t>
        </is>
      </c>
      <c r="D419" s="416" t="inlineStr">
        <is>
          <t>Special Service</t>
        </is>
      </c>
      <c r="E419" s="416" t="n">
        <v>2118</v>
      </c>
      <c r="F419" s="416" t="n"/>
      <c r="G419" s="416" t="n"/>
      <c r="H419" s="417" t="inlineStr">
        <is>
          <t>2026 covers January–September only (year to date).</t>
        </is>
      </c>
    </row>
    <row r="420" ht="15" customHeight="1" s="210">
      <c r="A420" s="386">
        <f>LEFT(B420, FIND("-", B420) - 1)</f>
        <v/>
      </c>
      <c r="B420" s="386" t="inlineStr">
        <is>
          <t>TRAN-RIDERSHIP</t>
        </is>
      </c>
      <c r="C420" s="415" t="inlineStr">
        <is>
          <t>2026</t>
        </is>
      </c>
      <c r="D420" s="416" t="inlineStr">
        <is>
          <t>Fort Lewis Express</t>
        </is>
      </c>
      <c r="E420" s="416" t="n">
        <v>366</v>
      </c>
      <c r="F420" s="416" t="n"/>
      <c r="G420" s="416" t="n"/>
      <c r="H420" s="417" t="inlineStr">
        <is>
          <t>2026 covers January–September only (year to date).</t>
        </is>
      </c>
    </row>
    <row r="421" ht="15" customHeight="1" s="210">
      <c r="A421" s="386">
        <f>LEFT(B421, FIND("-", B421) - 1)</f>
        <v/>
      </c>
      <c r="B421" s="386" t="inlineStr">
        <is>
          <t>TRAN-RIDERSHIP</t>
        </is>
      </c>
      <c r="C421" s="415" t="inlineStr">
        <is>
          <t>2026</t>
        </is>
      </c>
      <c r="D421" s="416" t="inlineStr">
        <is>
          <t>Walmart</t>
        </is>
      </c>
      <c r="E421" s="416" t="n">
        <v>101035</v>
      </c>
      <c r="F421" s="416" t="n"/>
      <c r="G421" s="416" t="n"/>
      <c r="H421" s="417" t="inlineStr">
        <is>
          <t>2026 covers January–September only (year to date).</t>
        </is>
      </c>
    </row>
    <row r="422" ht="15" customHeight="1" s="210">
      <c r="A422" s="386">
        <f>LEFT(B422, FIND("-", B422) - 1)</f>
        <v/>
      </c>
      <c r="B422" s="386" t="inlineStr">
        <is>
          <t>TRAN-RIDERSHIP</t>
        </is>
      </c>
      <c r="C422" s="415" t="inlineStr">
        <is>
          <t>2026</t>
        </is>
      </c>
      <c r="D422" s="416" t="inlineStr">
        <is>
          <t>Mercy / Three Springs</t>
        </is>
      </c>
      <c r="E422" s="416" t="n">
        <v>6515</v>
      </c>
      <c r="F422" s="416" t="n"/>
      <c r="G422" s="416" t="n"/>
      <c r="H422" s="417" t="inlineStr">
        <is>
          <t>2026 covers January–September only (year to date).</t>
        </is>
      </c>
    </row>
    <row r="423" ht="15" customHeight="1" s="210">
      <c r="A423" s="386">
        <f>LEFT(B423, FIND("-", B423) - 1)</f>
        <v/>
      </c>
      <c r="B423" s="386" t="inlineStr">
        <is>
          <t>TRAN-RIDERSHIP</t>
        </is>
      </c>
      <c r="C423" s="415" t="inlineStr">
        <is>
          <t>2026</t>
        </is>
      </c>
      <c r="D423" s="416" t="inlineStr">
        <is>
          <t>Crestview / 160 W</t>
        </is>
      </c>
      <c r="E423" s="416" t="n">
        <v>54634</v>
      </c>
      <c r="F423" s="416" t="n"/>
      <c r="G423" s="416" t="n"/>
      <c r="H423" s="417" t="inlineStr">
        <is>
          <t>2026 covers January–September only (year to date).</t>
        </is>
      </c>
    </row>
    <row r="424" ht="15" customHeight="1" s="210">
      <c r="A424" s="386">
        <f>LEFT(B424, FIND("-", B424) - 1)</f>
        <v/>
      </c>
      <c r="B424" s="386" t="inlineStr">
        <is>
          <t>TRAN-RIDERSHIP</t>
        </is>
      </c>
      <c r="C424" s="415" t="inlineStr">
        <is>
          <t>2019</t>
        </is>
      </c>
      <c r="D424" s="416" t="n"/>
      <c r="E424" s="416">
        <f>SUMIFS($E$368:$E$423,$B$368:$B$423,B424,$C$368:$C$423,C424)</f>
        <v/>
      </c>
      <c r="F424" s="416" t="n"/>
      <c r="G424" s="416" t="n"/>
      <c r="H424" s="417" t="n"/>
    </row>
    <row r="425" ht="15" customHeight="1" s="210">
      <c r="A425" s="386">
        <f>LEFT(B425, FIND("-", B425) - 1)</f>
        <v/>
      </c>
      <c r="B425" s="386" t="inlineStr">
        <is>
          <t>TRAN-RIDERSHIP</t>
        </is>
      </c>
      <c r="C425" s="415" t="inlineStr">
        <is>
          <t>2020</t>
        </is>
      </c>
      <c r="D425" s="416" t="n"/>
      <c r="E425" s="416">
        <f>SUMIFS($E$368:$E$423,$B$368:$B$423,B425,$C$368:$C$423,C425)</f>
        <v/>
      </c>
      <c r="F425" s="416">
        <f>ROUND(E424*1.03,0)</f>
        <v/>
      </c>
      <c r="G425" s="416">
        <f>ROUND(E424*1.06,0)</f>
        <v/>
      </c>
      <c r="H425" s="417" t="n"/>
    </row>
    <row r="426" ht="15" customHeight="1" s="210">
      <c r="A426" s="386">
        <f>LEFT(B426, FIND("-", B426) - 1)</f>
        <v/>
      </c>
      <c r="B426" s="386" t="inlineStr">
        <is>
          <t>TRAN-RIDERSHIP</t>
        </is>
      </c>
      <c r="C426" s="415" t="inlineStr">
        <is>
          <t>2021</t>
        </is>
      </c>
      <c r="D426" s="416" t="n"/>
      <c r="E426" s="416">
        <f>SUMIFS($E$368:$E$423,$B$368:$B$423,B426,$C$368:$C$423,C426)</f>
        <v/>
      </c>
      <c r="F426" s="416">
        <f>ROUND(E425*1.03,0)</f>
        <v/>
      </c>
      <c r="G426" s="416">
        <f>ROUND(E425*1.06,0)</f>
        <v/>
      </c>
      <c r="H426" s="417" t="n"/>
    </row>
    <row r="427" ht="15" customHeight="1" s="210">
      <c r="A427" s="386">
        <f>LEFT(B427, FIND("-", B427) - 1)</f>
        <v/>
      </c>
      <c r="B427" s="386" t="inlineStr">
        <is>
          <t>TRAN-RIDERSHIP</t>
        </is>
      </c>
      <c r="C427" s="415" t="inlineStr">
        <is>
          <t>2022</t>
        </is>
      </c>
      <c r="D427" s="416" t="n"/>
      <c r="E427" s="416">
        <f>SUMIFS($E$368:$E$423,$B$368:$B$423,B427,$C$368:$C$423,C427)</f>
        <v/>
      </c>
      <c r="F427" s="416">
        <f>ROUND(E426*1.03,0)</f>
        <v/>
      </c>
      <c r="G427" s="416">
        <f>ROUND(E426*1.06,0)</f>
        <v/>
      </c>
      <c r="H427" s="417" t="n"/>
    </row>
    <row r="428" ht="15" customHeight="1" s="210">
      <c r="A428" s="386">
        <f>LEFT(B428, FIND("-", B428) - 1)</f>
        <v/>
      </c>
      <c r="B428" s="386" t="inlineStr">
        <is>
          <t>TRAN-RIDERSHIP</t>
        </is>
      </c>
      <c r="C428" s="415" t="inlineStr">
        <is>
          <t>2023</t>
        </is>
      </c>
      <c r="D428" s="416" t="n"/>
      <c r="E428" s="416">
        <f>SUMIFS($E$368:$E$423,$B$368:$B$423,B428,$C$368:$C$423,C428)</f>
        <v/>
      </c>
      <c r="F428" s="416">
        <f>ROUND(E427*1.03,0)</f>
        <v/>
      </c>
      <c r="G428" s="416">
        <f>ROUND(E427*1.06,0)</f>
        <v/>
      </c>
      <c r="H428" s="417" t="n"/>
    </row>
    <row r="429" ht="15" customHeight="1" s="210">
      <c r="A429" s="386">
        <f>LEFT(B429, FIND("-", B429) - 1)</f>
        <v/>
      </c>
      <c r="B429" s="386" t="inlineStr">
        <is>
          <t>TRAN-RIDERSHIP</t>
        </is>
      </c>
      <c r="C429" s="415" t="inlineStr">
        <is>
          <t>2024</t>
        </is>
      </c>
      <c r="D429" s="416" t="n"/>
      <c r="E429" s="416">
        <f>SUMIFS($E$368:$E$423,$B$368:$B$423,B429,$C$368:$C$423,C429)</f>
        <v/>
      </c>
      <c r="F429" s="416">
        <f>ROUND(E428*1.03,0)</f>
        <v/>
      </c>
      <c r="G429" s="416">
        <f>ROUND(E428*1.06,0)</f>
        <v/>
      </c>
      <c r="H429" s="417" t="n"/>
    </row>
    <row r="430" ht="15" customHeight="1" s="210">
      <c r="A430" s="386">
        <f>LEFT(B430, FIND("-", B430) - 1)</f>
        <v/>
      </c>
      <c r="B430" s="386" t="inlineStr">
        <is>
          <t>TRAN-RIDERSHIP</t>
        </is>
      </c>
      <c r="C430" s="415" t="inlineStr">
        <is>
          <t>2025</t>
        </is>
      </c>
      <c r="D430" s="416" t="n"/>
      <c r="E430" s="416">
        <f>SUMIFS($E$368:$E$423,$B$368:$B$423,B430,$C$368:$C$423,C430)</f>
        <v/>
      </c>
      <c r="F430" s="416">
        <f>ROUND(E429*1.03,0)</f>
        <v/>
      </c>
      <c r="G430" s="416">
        <f>ROUND(E429*1.06,0)</f>
        <v/>
      </c>
      <c r="H430" s="417" t="n"/>
    </row>
    <row r="431" ht="15" customHeight="1" s="210">
      <c r="A431" s="386">
        <f>LEFT(B431, FIND("-", B431) - 1)</f>
        <v/>
      </c>
      <c r="B431" s="386" t="inlineStr">
        <is>
          <t>TRAN-RIDERSHIP</t>
        </is>
      </c>
      <c r="C431" s="415" t="inlineStr">
        <is>
          <t>2026</t>
        </is>
      </c>
      <c r="D431" s="416" t="n"/>
      <c r="E431" s="416">
        <f>SUMIFS($E$368:$E$423,$B$368:$B$423,B431,$C$368:$C$423,C431)</f>
        <v/>
      </c>
      <c r="F431" s="416">
        <f>ROUND(337186*1.03,0)</f>
        <v/>
      </c>
      <c r="G431" s="416">
        <f>ROUND(337186*1.06,0)</f>
        <v/>
      </c>
      <c r="H431" s="417" t="inlineStr">
        <is>
          <t>2026 covers January–September only (year to date). Target and benchmark compare with January–September 2025 (337,186 rides).</t>
        </is>
      </c>
    </row>
    <row r="432" ht="15" customHeight="1" s="210">
      <c r="A432" s="386">
        <f>LEFT(B432, FIND("-", B432) - 1)</f>
        <v/>
      </c>
      <c r="B432" s="386" t="inlineStr">
        <is>
          <t>TRAN-TRIPDELIVER</t>
        </is>
      </c>
      <c r="C432" s="415" t="inlineStr">
        <is>
          <t>2019</t>
        </is>
      </c>
      <c r="D432" s="416" t="inlineStr">
        <is>
          <t>Under 60</t>
        </is>
      </c>
      <c r="E432" s="416" t="n">
        <v>93</v>
      </c>
      <c r="F432" s="416" t="n"/>
      <c r="G432" s="416" t="n"/>
      <c r="H432" s="417" t="n"/>
    </row>
    <row r="433" ht="15" customHeight="1" s="210">
      <c r="A433" s="386">
        <f>LEFT(B433, FIND("-", B433) - 1)</f>
        <v/>
      </c>
      <c r="B433" s="386" t="inlineStr">
        <is>
          <t>TRAN-TRIPDELIVER</t>
        </is>
      </c>
      <c r="C433" s="415" t="inlineStr">
        <is>
          <t>2019</t>
        </is>
      </c>
      <c r="D433" s="416" t="inlineStr">
        <is>
          <t>60 and over</t>
        </is>
      </c>
      <c r="E433" s="416" t="n">
        <v>1577</v>
      </c>
      <c r="F433" s="416" t="n"/>
      <c r="G433" s="416" t="n"/>
      <c r="H433" s="417" t="n"/>
    </row>
    <row r="434" ht="15" customHeight="1" s="210">
      <c r="A434" s="386">
        <f>LEFT(B434, FIND("-", B434) - 1)</f>
        <v/>
      </c>
      <c r="B434" s="386" t="inlineStr">
        <is>
          <t>TRAN-TRIPDELIVER</t>
        </is>
      </c>
      <c r="C434" s="415" t="inlineStr">
        <is>
          <t>2019</t>
        </is>
      </c>
      <c r="D434" s="416" t="inlineStr">
        <is>
          <t>Under 60, with a disability</t>
        </is>
      </c>
      <c r="E434" s="416" t="n">
        <v>1444</v>
      </c>
      <c r="F434" s="416" t="n"/>
      <c r="G434" s="416" t="n"/>
      <c r="H434" s="417" t="n"/>
    </row>
    <row r="435" ht="15" customHeight="1" s="210">
      <c r="A435" s="386">
        <f>LEFT(B435, FIND("-", B435) - 1)</f>
        <v/>
      </c>
      <c r="B435" s="386" t="inlineStr">
        <is>
          <t>TRAN-TRIPDELIVER</t>
        </is>
      </c>
      <c r="C435" s="415" t="inlineStr">
        <is>
          <t>2019</t>
        </is>
      </c>
      <c r="D435" s="416" t="inlineStr">
        <is>
          <t>60 and over, with a disability</t>
        </is>
      </c>
      <c r="E435" s="416" t="n">
        <v>964</v>
      </c>
      <c r="F435" s="416" t="n"/>
      <c r="G435" s="416" t="n"/>
      <c r="H435" s="417" t="n"/>
    </row>
    <row r="436" ht="15" customHeight="1" s="210">
      <c r="A436" s="386">
        <f>LEFT(B436, FIND("-", B436) - 1)</f>
        <v/>
      </c>
      <c r="B436" s="386" t="inlineStr">
        <is>
          <t>TRAN-TRIPDELIVER</t>
        </is>
      </c>
      <c r="C436" s="415" t="inlineStr">
        <is>
          <t>2020</t>
        </is>
      </c>
      <c r="D436" s="416" t="inlineStr">
        <is>
          <t>Under 60</t>
        </is>
      </c>
      <c r="E436" s="416" t="n">
        <v>697</v>
      </c>
      <c r="F436" s="416" t="n"/>
      <c r="G436" s="416" t="n"/>
      <c r="H436" s="417" t="n"/>
    </row>
    <row r="437" ht="15" customHeight="1" s="210">
      <c r="A437" s="386">
        <f>LEFT(B437, FIND("-", B437) - 1)</f>
        <v/>
      </c>
      <c r="B437" s="386" t="inlineStr">
        <is>
          <t>TRAN-TRIPDELIVER</t>
        </is>
      </c>
      <c r="C437" s="415" t="inlineStr">
        <is>
          <t>2020</t>
        </is>
      </c>
      <c r="D437" s="416" t="inlineStr">
        <is>
          <t>60 and over</t>
        </is>
      </c>
      <c r="E437" s="416" t="n">
        <v>1071</v>
      </c>
      <c r="F437" s="416" t="n"/>
      <c r="G437" s="416" t="n"/>
      <c r="H437" s="417" t="n"/>
    </row>
    <row r="438" ht="15" customHeight="1" s="210">
      <c r="A438" s="386">
        <f>LEFT(B438, FIND("-", B438) - 1)</f>
        <v/>
      </c>
      <c r="B438" s="386" t="inlineStr">
        <is>
          <t>TRAN-TRIPDELIVER</t>
        </is>
      </c>
      <c r="C438" s="415" t="inlineStr">
        <is>
          <t>2020</t>
        </is>
      </c>
      <c r="D438" s="416" t="inlineStr">
        <is>
          <t>Under 60, with a disability</t>
        </is>
      </c>
      <c r="E438" s="416" t="n">
        <v>945</v>
      </c>
      <c r="F438" s="416" t="n"/>
      <c r="G438" s="416" t="n"/>
      <c r="H438" s="417" t="n"/>
    </row>
    <row r="439" ht="15" customHeight="1" s="210">
      <c r="A439" s="386">
        <f>LEFT(B439, FIND("-", B439) - 1)</f>
        <v/>
      </c>
      <c r="B439" s="386" t="inlineStr">
        <is>
          <t>TRAN-TRIPDELIVER</t>
        </is>
      </c>
      <c r="C439" s="415" t="inlineStr">
        <is>
          <t>2020</t>
        </is>
      </c>
      <c r="D439" s="416" t="inlineStr">
        <is>
          <t>60 and over, with a disability</t>
        </is>
      </c>
      <c r="E439" s="416" t="n">
        <v>520</v>
      </c>
      <c r="F439" s="416" t="n"/>
      <c r="G439" s="416" t="n"/>
      <c r="H439" s="417" t="n"/>
    </row>
    <row r="440" ht="15" customHeight="1" s="210">
      <c r="A440" s="386">
        <f>LEFT(B440, FIND("-", B440) - 1)</f>
        <v/>
      </c>
      <c r="B440" s="386" t="inlineStr">
        <is>
          <t>TRAN-TRIPDELIVER</t>
        </is>
      </c>
      <c r="C440" s="415" t="inlineStr">
        <is>
          <t>2021</t>
        </is>
      </c>
      <c r="D440" s="416" t="inlineStr">
        <is>
          <t>Under 60</t>
        </is>
      </c>
      <c r="E440" s="416" t="n">
        <v>522</v>
      </c>
      <c r="F440" s="416" t="n"/>
      <c r="G440" s="416" t="n"/>
      <c r="H440" s="417" t="n"/>
    </row>
    <row r="441" ht="15" customHeight="1" s="210">
      <c r="A441" s="386">
        <f>LEFT(B441, FIND("-", B441) - 1)</f>
        <v/>
      </c>
      <c r="B441" s="386" t="inlineStr">
        <is>
          <t>TRAN-TRIPDELIVER</t>
        </is>
      </c>
      <c r="C441" s="415" t="inlineStr">
        <is>
          <t>2021</t>
        </is>
      </c>
      <c r="D441" s="416" t="inlineStr">
        <is>
          <t>60 and over</t>
        </is>
      </c>
      <c r="E441" s="416" t="n">
        <v>1112</v>
      </c>
      <c r="F441" s="416" t="n"/>
      <c r="G441" s="416" t="n"/>
      <c r="H441" s="417" t="n"/>
    </row>
    <row r="442" ht="15" customHeight="1" s="210">
      <c r="A442" s="386">
        <f>LEFT(B442, FIND("-", B442) - 1)</f>
        <v/>
      </c>
      <c r="B442" s="386" t="inlineStr">
        <is>
          <t>TRAN-TRIPDELIVER</t>
        </is>
      </c>
      <c r="C442" s="415" t="inlineStr">
        <is>
          <t>2021</t>
        </is>
      </c>
      <c r="D442" s="416" t="inlineStr">
        <is>
          <t>Under 60, with a disability</t>
        </is>
      </c>
      <c r="E442" s="416" t="n">
        <v>602</v>
      </c>
      <c r="F442" s="416" t="n"/>
      <c r="G442" s="416" t="n"/>
      <c r="H442" s="417" t="n"/>
    </row>
    <row r="443" ht="15" customHeight="1" s="210">
      <c r="A443" s="386">
        <f>LEFT(B443, FIND("-", B443) - 1)</f>
        <v/>
      </c>
      <c r="B443" s="386" t="inlineStr">
        <is>
          <t>TRAN-TRIPDELIVER</t>
        </is>
      </c>
      <c r="C443" s="415" t="inlineStr">
        <is>
          <t>2021</t>
        </is>
      </c>
      <c r="D443" s="416" t="inlineStr">
        <is>
          <t>60 and over, with a disability</t>
        </is>
      </c>
      <c r="E443" s="416" t="n">
        <v>489</v>
      </c>
      <c r="F443" s="416" t="n"/>
      <c r="G443" s="416" t="n"/>
      <c r="H443" s="417" t="n"/>
    </row>
    <row r="444" ht="15" customHeight="1" s="210">
      <c r="A444" s="386">
        <f>LEFT(B444, FIND("-", B444) - 1)</f>
        <v/>
      </c>
      <c r="B444" s="386" t="inlineStr">
        <is>
          <t>TRAN-TRIPDELIVER</t>
        </is>
      </c>
      <c r="C444" s="415" t="inlineStr">
        <is>
          <t>2022</t>
        </is>
      </c>
      <c r="D444" s="416" t="inlineStr">
        <is>
          <t>Under 60</t>
        </is>
      </c>
      <c r="E444" s="416" t="n">
        <v>300</v>
      </c>
      <c r="F444" s="416" t="n"/>
      <c r="G444" s="416" t="n"/>
      <c r="H444" s="417" t="n"/>
    </row>
    <row r="445" ht="15" customHeight="1" s="210">
      <c r="A445" s="386">
        <f>LEFT(B445, FIND("-", B445) - 1)</f>
        <v/>
      </c>
      <c r="B445" s="386" t="inlineStr">
        <is>
          <t>TRAN-TRIPDELIVER</t>
        </is>
      </c>
      <c r="C445" s="415" t="inlineStr">
        <is>
          <t>2022</t>
        </is>
      </c>
      <c r="D445" s="416" t="inlineStr">
        <is>
          <t>60 and over</t>
        </is>
      </c>
      <c r="E445" s="416" t="n">
        <v>1141</v>
      </c>
      <c r="F445" s="416" t="n"/>
      <c r="G445" s="416" t="n"/>
      <c r="H445" s="417" t="n"/>
    </row>
    <row r="446" ht="15" customHeight="1" s="210">
      <c r="A446" s="386">
        <f>LEFT(B446, FIND("-", B446) - 1)</f>
        <v/>
      </c>
      <c r="B446" s="386" t="inlineStr">
        <is>
          <t>TRAN-TRIPDELIVER</t>
        </is>
      </c>
      <c r="C446" s="415" t="inlineStr">
        <is>
          <t>2022</t>
        </is>
      </c>
      <c r="D446" s="416" t="inlineStr">
        <is>
          <t>Under 60, with a disability</t>
        </is>
      </c>
      <c r="E446" s="416" t="n">
        <v>506</v>
      </c>
      <c r="F446" s="416" t="n"/>
      <c r="G446" s="416" t="n"/>
      <c r="H446" s="417" t="n"/>
    </row>
    <row r="447" ht="15" customHeight="1" s="210">
      <c r="A447" s="386">
        <f>LEFT(B447, FIND("-", B447) - 1)</f>
        <v/>
      </c>
      <c r="B447" s="386" t="inlineStr">
        <is>
          <t>TRAN-TRIPDELIVER</t>
        </is>
      </c>
      <c r="C447" s="415" t="inlineStr">
        <is>
          <t>2022</t>
        </is>
      </c>
      <c r="D447" s="416" t="inlineStr">
        <is>
          <t>60 and over, with a disability</t>
        </is>
      </c>
      <c r="E447" s="416" t="n">
        <v>716</v>
      </c>
      <c r="F447" s="416" t="n"/>
      <c r="G447" s="416" t="n"/>
      <c r="H447" s="417" t="n"/>
    </row>
    <row r="448" ht="15" customHeight="1" s="210">
      <c r="A448" s="386">
        <f>LEFT(B448, FIND("-", B448) - 1)</f>
        <v/>
      </c>
      <c r="B448" s="386" t="inlineStr">
        <is>
          <t>TRAN-TRIPDELIVER</t>
        </is>
      </c>
      <c r="C448" s="415" t="inlineStr">
        <is>
          <t>2023</t>
        </is>
      </c>
      <c r="D448" s="416" t="inlineStr">
        <is>
          <t>Under 60</t>
        </is>
      </c>
      <c r="E448" s="416" t="n">
        <v>134</v>
      </c>
      <c r="F448" s="416" t="n"/>
      <c r="G448" s="416" t="n"/>
      <c r="H448" s="417" t="n"/>
    </row>
    <row r="449" ht="15" customHeight="1" s="210">
      <c r="A449" s="386">
        <f>LEFT(B449, FIND("-", B449) - 1)</f>
        <v/>
      </c>
      <c r="B449" s="386" t="inlineStr">
        <is>
          <t>TRAN-TRIPDELIVER</t>
        </is>
      </c>
      <c r="C449" s="415" t="inlineStr">
        <is>
          <t>2023</t>
        </is>
      </c>
      <c r="D449" s="416" t="inlineStr">
        <is>
          <t>60 and over</t>
        </is>
      </c>
      <c r="E449" s="416" t="n">
        <v>1119</v>
      </c>
      <c r="F449" s="416" t="n"/>
      <c r="G449" s="416" t="n"/>
      <c r="H449" s="417" t="n"/>
    </row>
    <row r="450" ht="15" customHeight="1" s="210">
      <c r="A450" s="386">
        <f>LEFT(B450, FIND("-", B450) - 1)</f>
        <v/>
      </c>
      <c r="B450" s="386" t="inlineStr">
        <is>
          <t>TRAN-TRIPDELIVER</t>
        </is>
      </c>
      <c r="C450" s="415" t="inlineStr">
        <is>
          <t>2023</t>
        </is>
      </c>
      <c r="D450" s="416" t="inlineStr">
        <is>
          <t>Under 60, with a disability</t>
        </is>
      </c>
      <c r="E450" s="416" t="n">
        <v>588</v>
      </c>
      <c r="F450" s="416" t="n"/>
      <c r="G450" s="416" t="n"/>
      <c r="H450" s="417" t="n"/>
    </row>
    <row r="451" ht="15" customHeight="1" s="210">
      <c r="A451" s="386">
        <f>LEFT(B451, FIND("-", B451) - 1)</f>
        <v/>
      </c>
      <c r="B451" s="386" t="inlineStr">
        <is>
          <t>TRAN-TRIPDELIVER</t>
        </is>
      </c>
      <c r="C451" s="415" t="inlineStr">
        <is>
          <t>2023</t>
        </is>
      </c>
      <c r="D451" s="416" t="inlineStr">
        <is>
          <t>60 and over, with a disability</t>
        </is>
      </c>
      <c r="E451" s="416" t="n">
        <v>772</v>
      </c>
      <c r="F451" s="416" t="n"/>
      <c r="G451" s="416" t="n"/>
      <c r="H451" s="417" t="n"/>
    </row>
    <row r="452" ht="15" customHeight="1" s="210">
      <c r="A452" s="386">
        <f>LEFT(B452, FIND("-", B452) - 1)</f>
        <v/>
      </c>
      <c r="B452" s="386" t="inlineStr">
        <is>
          <t>TRAN-TRIPDELIVER</t>
        </is>
      </c>
      <c r="C452" s="415" t="inlineStr">
        <is>
          <t>2024</t>
        </is>
      </c>
      <c r="D452" s="416" t="inlineStr">
        <is>
          <t>Under 60</t>
        </is>
      </c>
      <c r="E452" s="416" t="n">
        <v>151</v>
      </c>
      <c r="F452" s="416" t="n"/>
      <c r="G452" s="416" t="n"/>
      <c r="H452" s="417" t="n"/>
    </row>
    <row r="453" ht="15" customHeight="1" s="210">
      <c r="A453" s="386">
        <f>LEFT(B453, FIND("-", B453) - 1)</f>
        <v/>
      </c>
      <c r="B453" s="386" t="inlineStr">
        <is>
          <t>TRAN-TRIPDELIVER</t>
        </is>
      </c>
      <c r="C453" s="415" t="inlineStr">
        <is>
          <t>2024</t>
        </is>
      </c>
      <c r="D453" s="416" t="inlineStr">
        <is>
          <t>60 and over</t>
        </is>
      </c>
      <c r="E453" s="416" t="n">
        <v>1688</v>
      </c>
      <c r="F453" s="416" t="n"/>
      <c r="G453" s="416" t="n"/>
      <c r="H453" s="417" t="n"/>
    </row>
    <row r="454" ht="15" customHeight="1" s="210">
      <c r="A454" s="386">
        <f>LEFT(B454, FIND("-", B454) - 1)</f>
        <v/>
      </c>
      <c r="B454" s="386" t="inlineStr">
        <is>
          <t>TRAN-TRIPDELIVER</t>
        </is>
      </c>
      <c r="C454" s="415" t="inlineStr">
        <is>
          <t>2024</t>
        </is>
      </c>
      <c r="D454" s="416" t="inlineStr">
        <is>
          <t>Under 60, with a disability</t>
        </is>
      </c>
      <c r="E454" s="416" t="n">
        <v>524</v>
      </c>
      <c r="F454" s="416" t="n"/>
      <c r="G454" s="416" t="n"/>
      <c r="H454" s="417" t="n"/>
    </row>
    <row r="455" ht="15" customHeight="1" s="210">
      <c r="A455" s="386">
        <f>LEFT(B455, FIND("-", B455) - 1)</f>
        <v/>
      </c>
      <c r="B455" s="386" t="inlineStr">
        <is>
          <t>TRAN-TRIPDELIVER</t>
        </is>
      </c>
      <c r="C455" s="415" t="inlineStr">
        <is>
          <t>2024</t>
        </is>
      </c>
      <c r="D455" s="416" t="inlineStr">
        <is>
          <t>60 and over, with a disability</t>
        </is>
      </c>
      <c r="E455" s="416" t="n">
        <v>872</v>
      </c>
      <c r="F455" s="416" t="n"/>
      <c r="G455" s="416" t="n"/>
      <c r="H455" s="417" t="n"/>
    </row>
    <row r="456" ht="15" customHeight="1" s="210">
      <c r="A456" s="386">
        <f>LEFT(B456, FIND("-", B456) - 1)</f>
        <v/>
      </c>
      <c r="B456" s="386" t="inlineStr">
        <is>
          <t>TRAN-TRIPDELIVER</t>
        </is>
      </c>
      <c r="C456" s="415" t="inlineStr">
        <is>
          <t>2025</t>
        </is>
      </c>
      <c r="D456" s="416" t="inlineStr">
        <is>
          <t>Under 60</t>
        </is>
      </c>
      <c r="E456" s="416" t="n">
        <v>206</v>
      </c>
      <c r="F456" s="416" t="n"/>
      <c r="G456" s="416" t="n"/>
      <c r="H456" s="417" t="n"/>
    </row>
    <row r="457" ht="15" customHeight="1" s="210">
      <c r="A457" s="386">
        <f>LEFT(B457, FIND("-", B457) - 1)</f>
        <v/>
      </c>
      <c r="B457" s="386" t="inlineStr">
        <is>
          <t>TRAN-TRIPDELIVER</t>
        </is>
      </c>
      <c r="C457" s="415" t="inlineStr">
        <is>
          <t>2025</t>
        </is>
      </c>
      <c r="D457" s="416" t="inlineStr">
        <is>
          <t>60 and over</t>
        </is>
      </c>
      <c r="E457" s="416" t="n">
        <v>2120</v>
      </c>
      <c r="F457" s="416" t="n"/>
      <c r="G457" s="416" t="n"/>
      <c r="H457" s="417" t="n"/>
    </row>
    <row r="458" ht="15" customHeight="1" s="210">
      <c r="A458" s="386">
        <f>LEFT(B458, FIND("-", B458) - 1)</f>
        <v/>
      </c>
      <c r="B458" s="386" t="inlineStr">
        <is>
          <t>TRAN-TRIPDELIVER</t>
        </is>
      </c>
      <c r="C458" s="415" t="inlineStr">
        <is>
          <t>2025</t>
        </is>
      </c>
      <c r="D458" s="416" t="inlineStr">
        <is>
          <t>Under 60, with a disability</t>
        </is>
      </c>
      <c r="E458" s="416" t="n">
        <v>599</v>
      </c>
      <c r="F458" s="416" t="n"/>
      <c r="G458" s="416" t="n"/>
      <c r="H458" s="417" t="n"/>
    </row>
    <row r="459" ht="15" customHeight="1" s="210">
      <c r="A459" s="386">
        <f>LEFT(B459, FIND("-", B459) - 1)</f>
        <v/>
      </c>
      <c r="B459" s="386" t="inlineStr">
        <is>
          <t>TRAN-TRIPDELIVER</t>
        </is>
      </c>
      <c r="C459" s="415" t="inlineStr">
        <is>
          <t>2025</t>
        </is>
      </c>
      <c r="D459" s="416" t="inlineStr">
        <is>
          <t>60 and over, with a disability</t>
        </is>
      </c>
      <c r="E459" s="416" t="n">
        <v>442</v>
      </c>
      <c r="F459" s="416" t="n"/>
      <c r="G459" s="416" t="n"/>
      <c r="H459" s="417" t="n"/>
    </row>
    <row r="460" ht="15" customHeight="1" s="210">
      <c r="A460" s="386">
        <f>LEFT(B460, FIND("-", B460) - 1)</f>
        <v/>
      </c>
      <c r="B460" s="386" t="inlineStr">
        <is>
          <t>TRAN-TRIPDELIVER</t>
        </is>
      </c>
      <c r="C460" s="415" t="inlineStr">
        <is>
          <t>2026</t>
        </is>
      </c>
      <c r="D460" s="416" t="inlineStr">
        <is>
          <t>Under 60</t>
        </is>
      </c>
      <c r="E460" s="416" t="n">
        <v>139</v>
      </c>
      <c r="F460" s="416" t="n"/>
      <c r="G460" s="416" t="n"/>
      <c r="H460" s="417" t="inlineStr">
        <is>
          <t>2026 covers January–September only (year to date).</t>
        </is>
      </c>
    </row>
    <row r="461" ht="15" customHeight="1" s="210">
      <c r="A461" s="386">
        <f>LEFT(B461, FIND("-", B461) - 1)</f>
        <v/>
      </c>
      <c r="B461" s="386" t="inlineStr">
        <is>
          <t>TRAN-TRIPDELIVER</t>
        </is>
      </c>
      <c r="C461" s="415" t="inlineStr">
        <is>
          <t>2026</t>
        </is>
      </c>
      <c r="D461" s="416" t="inlineStr">
        <is>
          <t>60 and over</t>
        </is>
      </c>
      <c r="E461" s="416" t="n">
        <v>2467</v>
      </c>
      <c r="F461" s="416" t="n"/>
      <c r="G461" s="416" t="n"/>
      <c r="H461" s="417" t="inlineStr">
        <is>
          <t>2026 covers January–September only (year to date).</t>
        </is>
      </c>
    </row>
    <row r="462" ht="15" customHeight="1" s="210">
      <c r="A462" s="386">
        <f>LEFT(B462, FIND("-", B462) - 1)</f>
        <v/>
      </c>
      <c r="B462" s="386" t="inlineStr">
        <is>
          <t>TRAN-TRIPDELIVER</t>
        </is>
      </c>
      <c r="C462" s="415" t="inlineStr">
        <is>
          <t>2026</t>
        </is>
      </c>
      <c r="D462" s="416" t="inlineStr">
        <is>
          <t>Under 60, with a disability</t>
        </is>
      </c>
      <c r="E462" s="416" t="n">
        <v>209</v>
      </c>
      <c r="F462" s="416" t="n"/>
      <c r="G462" s="416" t="n"/>
      <c r="H462" s="417" t="inlineStr">
        <is>
          <t>2026 covers January–September only (year to date).</t>
        </is>
      </c>
    </row>
    <row r="463" ht="15" customHeight="1" s="210">
      <c r="A463" s="386">
        <f>LEFT(B463, FIND("-", B463) - 1)</f>
        <v/>
      </c>
      <c r="B463" s="386" t="inlineStr">
        <is>
          <t>TRAN-TRIPDELIVER</t>
        </is>
      </c>
      <c r="C463" s="415" t="inlineStr">
        <is>
          <t>2026</t>
        </is>
      </c>
      <c r="D463" s="416" t="inlineStr">
        <is>
          <t>60 and over, with a disability</t>
        </is>
      </c>
      <c r="E463" s="416" t="n">
        <v>576</v>
      </c>
      <c r="F463" s="416" t="n"/>
      <c r="G463" s="416" t="n"/>
      <c r="H463" s="417" t="inlineStr">
        <is>
          <t>2026 covers January–September only (year to date).</t>
        </is>
      </c>
    </row>
    <row r="464" ht="15" customHeight="1" s="210">
      <c r="A464" s="386">
        <f>LEFT(B464, FIND("-", B464) - 1)</f>
        <v/>
      </c>
      <c r="B464" s="386" t="inlineStr">
        <is>
          <t>TRAN-TRIPDELIVER</t>
        </is>
      </c>
      <c r="C464" s="415" t="inlineStr">
        <is>
          <t>2019</t>
        </is>
      </c>
      <c r="D464" s="416" t="n"/>
      <c r="E464" s="416" t="n">
        <v>5540</v>
      </c>
      <c r="F464" s="416" t="n"/>
      <c r="G464" s="416" t="n"/>
      <c r="H464" s="417" t="n"/>
    </row>
    <row r="465" ht="15" customHeight="1" s="210">
      <c r="A465" s="386">
        <f>LEFT(B465, FIND("-", B465) - 1)</f>
        <v/>
      </c>
      <c r="B465" s="386" t="inlineStr">
        <is>
          <t>TRAN-TRIPDELIVER</t>
        </is>
      </c>
      <c r="C465" s="415" t="inlineStr">
        <is>
          <t>2020</t>
        </is>
      </c>
      <c r="D465" s="416" t="n"/>
      <c r="E465" s="416" t="n">
        <v>2587</v>
      </c>
      <c r="F465" s="416">
        <f>ROUND(E464*1.03,0)</f>
        <v/>
      </c>
      <c r="G465" s="416">
        <f>E464</f>
        <v/>
      </c>
      <c r="H465" s="417" t="n"/>
    </row>
    <row r="466" ht="15" customHeight="1" s="210">
      <c r="A466" s="386">
        <f>LEFT(B466, FIND("-", B466) - 1)</f>
        <v/>
      </c>
      <c r="B466" s="386" t="inlineStr">
        <is>
          <t>TRAN-TRIPDELIVER</t>
        </is>
      </c>
      <c r="C466" s="415" t="inlineStr">
        <is>
          <t>2021</t>
        </is>
      </c>
      <c r="D466" s="416" t="n"/>
      <c r="E466" s="416" t="n">
        <v>2249</v>
      </c>
      <c r="F466" s="416">
        <f>ROUND(E465*1.03,0)</f>
        <v/>
      </c>
      <c r="G466" s="416">
        <f>E465</f>
        <v/>
      </c>
      <c r="H466" s="417" t="n"/>
    </row>
    <row r="467" ht="15" customHeight="1" s="210">
      <c r="A467" s="386">
        <f>LEFT(B467, FIND("-", B467) - 1)</f>
        <v/>
      </c>
      <c r="B467" s="386" t="inlineStr">
        <is>
          <t>TRAN-TRIPDELIVER</t>
        </is>
      </c>
      <c r="C467" s="415" t="inlineStr">
        <is>
          <t>2022</t>
        </is>
      </c>
      <c r="D467" s="416" t="n"/>
      <c r="E467" s="416" t="n">
        <v>2369</v>
      </c>
      <c r="F467" s="416">
        <f>ROUND(E466*1.03,0)</f>
        <v/>
      </c>
      <c r="G467" s="416">
        <f>E466</f>
        <v/>
      </c>
      <c r="H467" s="417" t="n"/>
    </row>
    <row r="468" ht="15" customHeight="1" s="210">
      <c r="A468" s="386">
        <f>LEFT(B468, FIND("-", B468) - 1)</f>
        <v/>
      </c>
      <c r="B468" s="386" t="inlineStr">
        <is>
          <t>TRAN-TRIPDELIVER</t>
        </is>
      </c>
      <c r="C468" s="415" t="inlineStr">
        <is>
          <t>2023</t>
        </is>
      </c>
      <c r="D468" s="416" t="n"/>
      <c r="E468" s="416" t="n">
        <v>2479</v>
      </c>
      <c r="F468" s="416">
        <f>ROUND(E467*1.03,0)</f>
        <v/>
      </c>
      <c r="G468" s="416">
        <f>E467</f>
        <v/>
      </c>
      <c r="H468" s="417" t="n"/>
    </row>
    <row r="469" ht="15" customHeight="1" s="210">
      <c r="A469" s="386">
        <f>LEFT(B469, FIND("-", B469) - 1)</f>
        <v/>
      </c>
      <c r="B469" s="386" t="inlineStr">
        <is>
          <t>TRAN-TRIPDELIVER</t>
        </is>
      </c>
      <c r="C469" s="415" t="inlineStr">
        <is>
          <t>2024</t>
        </is>
      </c>
      <c r="D469" s="416" t="n"/>
      <c r="E469" s="416" t="n">
        <v>3142</v>
      </c>
      <c r="F469" s="416">
        <f>ROUND(E468*1.03,0)</f>
        <v/>
      </c>
      <c r="G469" s="416">
        <f>E468</f>
        <v/>
      </c>
      <c r="H469" s="417" t="n"/>
    </row>
    <row r="470" ht="15" customHeight="1" s="210">
      <c r="A470" s="386">
        <f>LEFT(B470, FIND("-", B470) - 1)</f>
        <v/>
      </c>
      <c r="B470" s="386" t="inlineStr">
        <is>
          <t>TRAN-TRIPDELIVER</t>
        </is>
      </c>
      <c r="C470" s="415" t="inlineStr">
        <is>
          <t>2025</t>
        </is>
      </c>
      <c r="D470" s="416" t="n"/>
      <c r="E470" s="416" t="n">
        <v>3455</v>
      </c>
      <c r="F470" s="416">
        <f>ROUND(E469*1.03,0)</f>
        <v/>
      </c>
      <c r="G470" s="416">
        <f>E469</f>
        <v/>
      </c>
      <c r="H470" s="417" t="n"/>
    </row>
    <row r="471" ht="15" customHeight="1" s="210">
      <c r="A471" s="386">
        <f>LEFT(B471, FIND("-", B471) - 1)</f>
        <v/>
      </c>
      <c r="B471" s="386" t="inlineStr">
        <is>
          <t>TRAN-TRIPDELIVER</t>
        </is>
      </c>
      <c r="C471" s="415" t="inlineStr">
        <is>
          <t>2026</t>
        </is>
      </c>
      <c r="D471" s="416" t="n"/>
      <c r="E471" s="416" t="n">
        <v>3343</v>
      </c>
      <c r="F471" s="416">
        <f>ROUND(2707*1.03,0)</f>
        <v/>
      </c>
      <c r="G471" s="416" t="n">
        <v>2707</v>
      </c>
      <c r="H471" s="417" t="inlineStr">
        <is>
          <t>2026 covers January–September only (year to date). Target and benchmark compare with January–September 2025 (2,707 trips).</t>
        </is>
      </c>
    </row>
    <row r="472" ht="15" customHeight="1" s="210">
      <c r="A472" s="386">
        <f>LEFT(B472, FIND("-", B472) - 1)</f>
        <v/>
      </c>
      <c r="B472" s="386" t="inlineStr">
        <is>
          <t>TRAN-PASSTYPE</t>
        </is>
      </c>
      <c r="C472" s="415" t="inlineStr">
        <is>
          <t>2019</t>
        </is>
      </c>
      <c r="D472" s="416" t="inlineStr">
        <is>
          <t>Bus pass</t>
        </is>
      </c>
      <c r="E472" s="416" t="n">
        <v>139076</v>
      </c>
      <c r="F472" s="416" t="n"/>
      <c r="G472" s="416" t="n"/>
      <c r="H472" s="417" t="n"/>
    </row>
    <row r="473" ht="15" customHeight="1" s="210">
      <c r="A473" s="386">
        <f>LEFT(B473, FIND("-", B473) - 1)</f>
        <v/>
      </c>
      <c r="B473" s="386" t="inlineStr">
        <is>
          <t>TRAN-PASSTYPE</t>
        </is>
      </c>
      <c r="C473" s="415" t="inlineStr">
        <is>
          <t>2019</t>
        </is>
      </c>
      <c r="D473" s="416" t="inlineStr">
        <is>
          <t>Fort Lewis College</t>
        </is>
      </c>
      <c r="E473" s="416" t="n">
        <v>37888</v>
      </c>
      <c r="F473" s="416" t="n"/>
      <c r="G473" s="416" t="n"/>
      <c r="H473" s="417" t="n"/>
    </row>
    <row r="474" ht="15" customHeight="1" s="210">
      <c r="A474" s="386">
        <f>LEFT(B474, FIND("-", B474) - 1)</f>
        <v/>
      </c>
      <c r="B474" s="386" t="inlineStr">
        <is>
          <t>TRAN-PASSTYPE</t>
        </is>
      </c>
      <c r="C474" s="415" t="inlineStr">
        <is>
          <t>2019</t>
        </is>
      </c>
      <c r="D474" s="416" t="inlineStr">
        <is>
          <t>Free ride</t>
        </is>
      </c>
      <c r="E474" s="416" t="n">
        <v>35232</v>
      </c>
      <c r="F474" s="416" t="n"/>
      <c r="G474" s="416" t="n"/>
      <c r="H474" s="417" t="n"/>
    </row>
    <row r="475" ht="15" customHeight="1" s="210">
      <c r="A475" s="386">
        <f>LEFT(B475, FIND("-", B475) - 1)</f>
        <v/>
      </c>
      <c r="B475" s="386" t="inlineStr">
        <is>
          <t>TRAN-PASSTYPE</t>
        </is>
      </c>
      <c r="C475" s="415" t="inlineStr">
        <is>
          <t>2019</t>
        </is>
      </c>
      <c r="D475" s="416" t="inlineStr">
        <is>
          <t>Cash fare</t>
        </is>
      </c>
      <c r="E475" s="416" t="n">
        <v>134857</v>
      </c>
      <c r="F475" s="416" t="n"/>
      <c r="G475" s="416" t="n"/>
      <c r="H475" s="417" t="n"/>
    </row>
    <row r="476" ht="15" customHeight="1" s="210">
      <c r="A476" s="386">
        <f>LEFT(B476, FIND("-", B476) - 1)</f>
        <v/>
      </c>
      <c r="B476" s="386" t="inlineStr">
        <is>
          <t>TRAN-PASSTYPE</t>
        </is>
      </c>
      <c r="C476" s="415" t="inlineStr">
        <is>
          <t>2020</t>
        </is>
      </c>
      <c r="D476" s="416" t="inlineStr">
        <is>
          <t>Bus pass</t>
        </is>
      </c>
      <c r="E476" s="416" t="n">
        <v>94280</v>
      </c>
      <c r="F476" s="416" t="n"/>
      <c r="G476" s="416" t="n"/>
      <c r="H476" s="417" t="n"/>
    </row>
    <row r="477" ht="15" customHeight="1" s="210">
      <c r="A477" s="386">
        <f>LEFT(B477, FIND("-", B477) - 1)</f>
        <v/>
      </c>
      <c r="B477" s="386" t="inlineStr">
        <is>
          <t>TRAN-PASSTYPE</t>
        </is>
      </c>
      <c r="C477" s="415" t="inlineStr">
        <is>
          <t>2020</t>
        </is>
      </c>
      <c r="D477" s="416" t="inlineStr">
        <is>
          <t>Fort Lewis College</t>
        </is>
      </c>
      <c r="E477" s="416" t="n">
        <v>17856</v>
      </c>
      <c r="F477" s="416" t="n"/>
      <c r="G477" s="416" t="n"/>
      <c r="H477" s="417" t="n"/>
    </row>
    <row r="478" ht="15" customHeight="1" s="210">
      <c r="A478" s="386">
        <f>LEFT(B478, FIND("-", B478) - 1)</f>
        <v/>
      </c>
      <c r="B478" s="386" t="inlineStr">
        <is>
          <t>TRAN-PASSTYPE</t>
        </is>
      </c>
      <c r="C478" s="415" t="inlineStr">
        <is>
          <t>2020</t>
        </is>
      </c>
      <c r="D478" s="416" t="inlineStr">
        <is>
          <t>Free ride</t>
        </is>
      </c>
      <c r="E478" s="416" t="n">
        <v>17358</v>
      </c>
      <c r="F478" s="416" t="n"/>
      <c r="G478" s="416" t="n"/>
      <c r="H478" s="417" t="n"/>
    </row>
    <row r="479" ht="15" customHeight="1" s="210">
      <c r="A479" s="386">
        <f>LEFT(B479, FIND("-", B479) - 1)</f>
        <v/>
      </c>
      <c r="B479" s="386" t="inlineStr">
        <is>
          <t>TRAN-PASSTYPE</t>
        </is>
      </c>
      <c r="C479" s="415" t="inlineStr">
        <is>
          <t>2020</t>
        </is>
      </c>
      <c r="D479" s="416" t="inlineStr">
        <is>
          <t>Cash fare</t>
        </is>
      </c>
      <c r="E479" s="416" t="n">
        <v>86647</v>
      </c>
      <c r="F479" s="416" t="n"/>
      <c r="G479" s="416" t="n"/>
      <c r="H479" s="417" t="n"/>
    </row>
    <row r="480" ht="15" customHeight="1" s="210">
      <c r="A480" s="386">
        <f>LEFT(B480, FIND("-", B480) - 1)</f>
        <v/>
      </c>
      <c r="B480" s="386" t="inlineStr">
        <is>
          <t>TRAN-PASSTYPE</t>
        </is>
      </c>
      <c r="C480" s="415" t="inlineStr">
        <is>
          <t>2021</t>
        </is>
      </c>
      <c r="D480" s="416" t="inlineStr">
        <is>
          <t>Bus pass</t>
        </is>
      </c>
      <c r="E480" s="416" t="n">
        <v>91888</v>
      </c>
      <c r="F480" s="416" t="n"/>
      <c r="G480" s="416" t="n"/>
      <c r="H480" s="417" t="n"/>
    </row>
    <row r="481" ht="15" customHeight="1" s="210">
      <c r="A481" s="386">
        <f>LEFT(B481, FIND("-", B481) - 1)</f>
        <v/>
      </c>
      <c r="B481" s="386" t="inlineStr">
        <is>
          <t>TRAN-PASSTYPE</t>
        </is>
      </c>
      <c r="C481" s="415" t="inlineStr">
        <is>
          <t>2021</t>
        </is>
      </c>
      <c r="D481" s="416" t="inlineStr">
        <is>
          <t>Fort Lewis College</t>
        </is>
      </c>
      <c r="E481" s="416" t="n">
        <v>18391</v>
      </c>
      <c r="F481" s="416" t="n"/>
      <c r="G481" s="416" t="n"/>
      <c r="H481" s="417" t="n"/>
    </row>
    <row r="482" ht="15" customHeight="1" s="210">
      <c r="A482" s="386">
        <f>LEFT(B482, FIND("-", B482) - 1)</f>
        <v/>
      </c>
      <c r="B482" s="386" t="inlineStr">
        <is>
          <t>TRAN-PASSTYPE</t>
        </is>
      </c>
      <c r="C482" s="415" t="inlineStr">
        <is>
          <t>2021</t>
        </is>
      </c>
      <c r="D482" s="416" t="inlineStr">
        <is>
          <t>Free ride</t>
        </is>
      </c>
      <c r="E482" s="416" t="n">
        <v>13235</v>
      </c>
      <c r="F482" s="416" t="n"/>
      <c r="G482" s="416" t="n"/>
      <c r="H482" s="417" t="n"/>
    </row>
    <row r="483" ht="15" customHeight="1" s="210">
      <c r="A483" s="386">
        <f>LEFT(B483, FIND("-", B483) - 1)</f>
        <v/>
      </c>
      <c r="B483" s="386" t="inlineStr">
        <is>
          <t>TRAN-PASSTYPE</t>
        </is>
      </c>
      <c r="C483" s="415" t="inlineStr">
        <is>
          <t>2021</t>
        </is>
      </c>
      <c r="D483" s="416" t="inlineStr">
        <is>
          <t>Cash fare</t>
        </is>
      </c>
      <c r="E483" s="416" t="n">
        <v>98449</v>
      </c>
      <c r="F483" s="416" t="n"/>
      <c r="G483" s="416" t="n"/>
      <c r="H483" s="417" t="n"/>
    </row>
    <row r="484" ht="15" customHeight="1" s="210">
      <c r="A484" s="386">
        <f>LEFT(B484, FIND("-", B484) - 1)</f>
        <v/>
      </c>
      <c r="B484" s="386" t="inlineStr">
        <is>
          <t>TRAN-PASSTYPE</t>
        </is>
      </c>
      <c r="C484" s="415" t="inlineStr">
        <is>
          <t>2022</t>
        </is>
      </c>
      <c r="D484" s="416" t="inlineStr">
        <is>
          <t>Bus pass</t>
        </is>
      </c>
      <c r="E484" s="416" t="n">
        <v>125614</v>
      </c>
      <c r="F484" s="416" t="n"/>
      <c r="G484" s="416" t="n"/>
      <c r="H484" s="417" t="n"/>
    </row>
    <row r="485" ht="15" customHeight="1" s="210">
      <c r="A485" s="386">
        <f>LEFT(B485, FIND("-", B485) - 1)</f>
        <v/>
      </c>
      <c r="B485" s="386" t="inlineStr">
        <is>
          <t>TRAN-PASSTYPE</t>
        </is>
      </c>
      <c r="C485" s="415" t="inlineStr">
        <is>
          <t>2022</t>
        </is>
      </c>
      <c r="D485" s="416" t="inlineStr">
        <is>
          <t>Fort Lewis College</t>
        </is>
      </c>
      <c r="E485" s="416" t="n">
        <v>20597</v>
      </c>
      <c r="F485" s="416" t="n"/>
      <c r="G485" s="416" t="n"/>
      <c r="H485" s="417" t="n"/>
    </row>
    <row r="486" ht="15" customHeight="1" s="210">
      <c r="A486" s="386">
        <f>LEFT(B486, FIND("-", B486) - 1)</f>
        <v/>
      </c>
      <c r="B486" s="386" t="inlineStr">
        <is>
          <t>TRAN-PASSTYPE</t>
        </is>
      </c>
      <c r="C486" s="415" t="inlineStr">
        <is>
          <t>2022</t>
        </is>
      </c>
      <c r="D486" s="416" t="inlineStr">
        <is>
          <t>Free ride</t>
        </is>
      </c>
      <c r="E486" s="416" t="n">
        <v>53766</v>
      </c>
      <c r="F486" s="416" t="n"/>
      <c r="G486" s="416" t="n"/>
      <c r="H486" s="417" t="n"/>
    </row>
    <row r="487" ht="15" customHeight="1" s="210">
      <c r="A487" s="386">
        <f>LEFT(B487, FIND("-", B487) - 1)</f>
        <v/>
      </c>
      <c r="B487" s="386" t="inlineStr">
        <is>
          <t>TRAN-PASSTYPE</t>
        </is>
      </c>
      <c r="C487" s="415" t="inlineStr">
        <is>
          <t>2022</t>
        </is>
      </c>
      <c r="D487" s="416" t="inlineStr">
        <is>
          <t>Cash fare</t>
        </is>
      </c>
      <c r="E487" s="416" t="n">
        <v>187599</v>
      </c>
      <c r="F487" s="416" t="n"/>
      <c r="G487" s="416" t="n"/>
      <c r="H487" s="417" t="n"/>
    </row>
    <row r="488" ht="15" customHeight="1" s="210">
      <c r="A488" s="386">
        <f>LEFT(B488, FIND("-", B488) - 1)</f>
        <v/>
      </c>
      <c r="B488" s="386" t="inlineStr">
        <is>
          <t>TRAN-PASSTYPE</t>
        </is>
      </c>
      <c r="C488" s="415" t="inlineStr">
        <is>
          <t>2023</t>
        </is>
      </c>
      <c r="D488" s="416" t="inlineStr">
        <is>
          <t>Bus pass</t>
        </is>
      </c>
      <c r="E488" s="416" t="n">
        <v>147810</v>
      </c>
      <c r="F488" s="416" t="n"/>
      <c r="G488" s="416" t="n"/>
      <c r="H488" s="417" t="n"/>
    </row>
    <row r="489" ht="15" customHeight="1" s="210">
      <c r="A489" s="386">
        <f>LEFT(B489, FIND("-", B489) - 1)</f>
        <v/>
      </c>
      <c r="B489" s="386" t="inlineStr">
        <is>
          <t>TRAN-PASSTYPE</t>
        </is>
      </c>
      <c r="C489" s="415" t="inlineStr">
        <is>
          <t>2023</t>
        </is>
      </c>
      <c r="D489" s="416" t="inlineStr">
        <is>
          <t>Fort Lewis College</t>
        </is>
      </c>
      <c r="E489" s="416" t="n">
        <v>15741</v>
      </c>
      <c r="F489" s="416" t="n"/>
      <c r="G489" s="416" t="n"/>
      <c r="H489" s="417" t="n"/>
    </row>
    <row r="490" ht="15" customHeight="1" s="210">
      <c r="A490" s="386">
        <f>LEFT(B490, FIND("-", B490) - 1)</f>
        <v/>
      </c>
      <c r="B490" s="386" t="inlineStr">
        <is>
          <t>TRAN-PASSTYPE</t>
        </is>
      </c>
      <c r="C490" s="415" t="inlineStr">
        <is>
          <t>2023</t>
        </is>
      </c>
      <c r="D490" s="416" t="inlineStr">
        <is>
          <t>Free ride</t>
        </is>
      </c>
      <c r="E490" s="416" t="n">
        <v>116264</v>
      </c>
      <c r="F490" s="416" t="n"/>
      <c r="G490" s="416" t="n"/>
      <c r="H490" s="417" t="n"/>
    </row>
    <row r="491" ht="15" customHeight="1" s="210">
      <c r="A491" s="386">
        <f>LEFT(B491, FIND("-", B491) - 1)</f>
        <v/>
      </c>
      <c r="B491" s="386" t="inlineStr">
        <is>
          <t>TRAN-PASSTYPE</t>
        </is>
      </c>
      <c r="C491" s="415" t="inlineStr">
        <is>
          <t>2023</t>
        </is>
      </c>
      <c r="D491" s="416" t="inlineStr">
        <is>
          <t>Cash fare</t>
        </is>
      </c>
      <c r="E491" s="416" t="n">
        <v>288627</v>
      </c>
      <c r="F491" s="416" t="n"/>
      <c r="G491" s="416" t="n"/>
      <c r="H491" s="417" t="n"/>
    </row>
    <row r="492" ht="15" customHeight="1" s="210">
      <c r="A492" s="386">
        <f>LEFT(B492, FIND("-", B492) - 1)</f>
        <v/>
      </c>
      <c r="B492" s="386" t="inlineStr">
        <is>
          <t>TRAN-PASSTYPE</t>
        </is>
      </c>
      <c r="C492" s="415" t="inlineStr">
        <is>
          <t>2024</t>
        </is>
      </c>
      <c r="D492" s="416" t="inlineStr">
        <is>
          <t>Bus pass</t>
        </is>
      </c>
      <c r="E492" s="416" t="n">
        <v>179328</v>
      </c>
      <c r="F492" s="416" t="n"/>
      <c r="G492" s="416" t="n"/>
      <c r="H492" s="417" t="n"/>
    </row>
    <row r="493" ht="15" customHeight="1" s="210">
      <c r="A493" s="386">
        <f>LEFT(B493, FIND("-", B493) - 1)</f>
        <v/>
      </c>
      <c r="B493" s="386" t="inlineStr">
        <is>
          <t>TRAN-PASSTYPE</t>
        </is>
      </c>
      <c r="C493" s="415" t="inlineStr">
        <is>
          <t>2024</t>
        </is>
      </c>
      <c r="D493" s="416" t="inlineStr">
        <is>
          <t>Fort Lewis College</t>
        </is>
      </c>
      <c r="E493" s="416" t="n">
        <v>8572</v>
      </c>
      <c r="F493" s="416" t="n"/>
      <c r="G493" s="416" t="n"/>
      <c r="H493" s="417" t="n"/>
    </row>
    <row r="494" ht="15" customHeight="1" s="210">
      <c r="A494" s="386">
        <f>LEFT(B494, FIND("-", B494) - 1)</f>
        <v/>
      </c>
      <c r="B494" s="386" t="inlineStr">
        <is>
          <t>TRAN-PASSTYPE</t>
        </is>
      </c>
      <c r="C494" s="415" t="inlineStr">
        <is>
          <t>2024</t>
        </is>
      </c>
      <c r="D494" s="416" t="inlineStr">
        <is>
          <t>Free ride</t>
        </is>
      </c>
      <c r="E494" s="416" t="n">
        <v>164734</v>
      </c>
      <c r="F494" s="416" t="n"/>
      <c r="G494" s="416" t="n"/>
      <c r="H494" s="417" t="n"/>
    </row>
    <row r="495" ht="15" customHeight="1" s="210">
      <c r="A495" s="386">
        <f>LEFT(B495, FIND("-", B495) - 1)</f>
        <v/>
      </c>
      <c r="B495" s="386" t="inlineStr">
        <is>
          <t>TRAN-PASSTYPE</t>
        </is>
      </c>
      <c r="C495" s="415" t="inlineStr">
        <is>
          <t>2024</t>
        </is>
      </c>
      <c r="D495" s="416" t="inlineStr">
        <is>
          <t>Cash fare</t>
        </is>
      </c>
      <c r="E495" s="416" t="n">
        <v>146403</v>
      </c>
      <c r="F495" s="416" t="n"/>
      <c r="G495" s="416" t="n"/>
      <c r="H495" s="417" t="n"/>
    </row>
    <row r="496" ht="15" customHeight="1" s="210">
      <c r="A496" s="386">
        <f>LEFT(B496, FIND("-", B496) - 1)</f>
        <v/>
      </c>
      <c r="B496" s="386" t="inlineStr">
        <is>
          <t>TRAN-PASSTYPE</t>
        </is>
      </c>
      <c r="C496" s="415" t="inlineStr">
        <is>
          <t>2025</t>
        </is>
      </c>
      <c r="D496" s="416" t="inlineStr">
        <is>
          <t>Bus pass</t>
        </is>
      </c>
      <c r="E496" s="416" t="n">
        <v>176140</v>
      </c>
      <c r="F496" s="416" t="n"/>
      <c r="G496" s="416" t="n"/>
      <c r="H496" s="417" t="n"/>
    </row>
    <row r="497" ht="15" customHeight="1" s="210">
      <c r="A497" s="386">
        <f>LEFT(B497, FIND("-", B497) - 1)</f>
        <v/>
      </c>
      <c r="B497" s="386" t="inlineStr">
        <is>
          <t>TRAN-PASSTYPE</t>
        </is>
      </c>
      <c r="C497" s="415" t="inlineStr">
        <is>
          <t>2025</t>
        </is>
      </c>
      <c r="D497" s="416" t="inlineStr">
        <is>
          <t>Fort Lewis College</t>
        </is>
      </c>
      <c r="E497" s="416" t="n">
        <v>19849</v>
      </c>
      <c r="F497" s="416" t="n"/>
      <c r="G497" s="416" t="n"/>
      <c r="H497" s="417" t="n"/>
    </row>
    <row r="498" ht="15" customHeight="1" s="210">
      <c r="A498" s="386">
        <f>LEFT(B498, FIND("-", B498) - 1)</f>
        <v/>
      </c>
      <c r="B498" s="386" t="inlineStr">
        <is>
          <t>TRAN-PASSTYPE</t>
        </is>
      </c>
      <c r="C498" s="415" t="inlineStr">
        <is>
          <t>2025</t>
        </is>
      </c>
      <c r="D498" s="416" t="inlineStr">
        <is>
          <t>Free ride</t>
        </is>
      </c>
      <c r="E498" s="416" t="n">
        <v>145148</v>
      </c>
      <c r="F498" s="416" t="n"/>
      <c r="G498" s="416" t="n"/>
      <c r="H498" s="417" t="n"/>
    </row>
    <row r="499" ht="15" customHeight="1" s="210">
      <c r="A499" s="386">
        <f>LEFT(B499, FIND("-", B499) - 1)</f>
        <v/>
      </c>
      <c r="B499" s="386" t="inlineStr">
        <is>
          <t>TRAN-PASSTYPE</t>
        </is>
      </c>
      <c r="C499" s="415" t="inlineStr">
        <is>
          <t>2025</t>
        </is>
      </c>
      <c r="D499" s="416" t="inlineStr">
        <is>
          <t>Cash fare</t>
        </is>
      </c>
      <c r="E499" s="416" t="n">
        <v>95377</v>
      </c>
      <c r="F499" s="416" t="n"/>
      <c r="G499" s="416" t="n"/>
      <c r="H499" s="417" t="n"/>
    </row>
    <row r="500" ht="15" customHeight="1" s="210">
      <c r="A500" s="386">
        <f>LEFT(B500, FIND("-", B500) - 1)</f>
        <v/>
      </c>
      <c r="B500" s="386" t="inlineStr">
        <is>
          <t>TRAN-PASSTYPE</t>
        </is>
      </c>
      <c r="C500" s="415" t="inlineStr">
        <is>
          <t>2026</t>
        </is>
      </c>
      <c r="D500" s="416" t="inlineStr">
        <is>
          <t>Bus pass</t>
        </is>
      </c>
      <c r="E500" s="416" t="n">
        <v>118354</v>
      </c>
      <c r="F500" s="416" t="n"/>
      <c r="G500" s="416" t="n"/>
      <c r="H500" s="417" t="inlineStr">
        <is>
          <t>2026 covers January–September only (year to date).</t>
        </is>
      </c>
    </row>
    <row r="501" ht="15" customHeight="1" s="210">
      <c r="A501" s="386">
        <f>LEFT(B501, FIND("-", B501) - 1)</f>
        <v/>
      </c>
      <c r="B501" s="386" t="inlineStr">
        <is>
          <t>TRAN-PASSTYPE</t>
        </is>
      </c>
      <c r="C501" s="415" t="inlineStr">
        <is>
          <t>2026</t>
        </is>
      </c>
      <c r="D501" s="416" t="inlineStr">
        <is>
          <t>Fort Lewis College</t>
        </is>
      </c>
      <c r="E501" s="416" t="n">
        <v>15601</v>
      </c>
      <c r="F501" s="416" t="n"/>
      <c r="G501" s="416" t="n"/>
      <c r="H501" s="417" t="inlineStr">
        <is>
          <t>2026 covers January–September only (year to date).</t>
        </is>
      </c>
    </row>
    <row r="502" ht="15" customHeight="1" s="210">
      <c r="A502" s="386">
        <f>LEFT(B502, FIND("-", B502) - 1)</f>
        <v/>
      </c>
      <c r="B502" s="386" t="inlineStr">
        <is>
          <t>TRAN-PASSTYPE</t>
        </is>
      </c>
      <c r="C502" s="415" t="inlineStr">
        <is>
          <t>2026</t>
        </is>
      </c>
      <c r="D502" s="416" t="inlineStr">
        <is>
          <t>Free ride</t>
        </is>
      </c>
      <c r="E502" s="416" t="n">
        <v>149589</v>
      </c>
      <c r="F502" s="416" t="n"/>
      <c r="G502" s="416" t="n"/>
      <c r="H502" s="417" t="inlineStr">
        <is>
          <t>2026 covers January–September only (year to date).</t>
        </is>
      </c>
    </row>
    <row r="503" ht="15" customHeight="1" s="210">
      <c r="A503" s="386">
        <f>LEFT(B503, FIND("-", B503) - 1)</f>
        <v/>
      </c>
      <c r="B503" s="386" t="inlineStr">
        <is>
          <t>TRAN-PASSTYPE</t>
        </is>
      </c>
      <c r="C503" s="415" t="inlineStr">
        <is>
          <t>2026</t>
        </is>
      </c>
      <c r="D503" s="416" t="inlineStr">
        <is>
          <t>Cash fare</t>
        </is>
      </c>
      <c r="E503" s="416" t="n">
        <v>61301</v>
      </c>
      <c r="F503" s="416" t="n"/>
      <c r="G503" s="416" t="n"/>
      <c r="H503" s="417" t="inlineStr">
        <is>
          <t>2026 covers January–September only (year to date).</t>
        </is>
      </c>
    </row>
    <row r="504" ht="15" customHeight="1" s="210">
      <c r="A504" s="386">
        <f>LEFT(B504, FIND("-", B504) - 1)</f>
        <v/>
      </c>
      <c r="B504" s="386" t="inlineStr">
        <is>
          <t>TRAN-PASSTYPE</t>
        </is>
      </c>
      <c r="C504" s="415" t="inlineStr">
        <is>
          <t>2019</t>
        </is>
      </c>
      <c r="D504" s="416" t="n"/>
      <c r="E504" s="416">
        <f>SUMIFS($E$472:$E$503,$B$472:$B$503,B504,$C$472:$C$503,C504)</f>
        <v/>
      </c>
      <c r="F504" s="416" t="n"/>
      <c r="G504" s="416" t="n"/>
      <c r="H504" s="417" t="n"/>
    </row>
    <row r="505" ht="15" customHeight="1" s="210">
      <c r="A505" s="386">
        <f>LEFT(B505, FIND("-", B505) - 1)</f>
        <v/>
      </c>
      <c r="B505" s="386" t="inlineStr">
        <is>
          <t>TRAN-PASSTYPE</t>
        </is>
      </c>
      <c r="C505" s="415" t="inlineStr">
        <is>
          <t>2020</t>
        </is>
      </c>
      <c r="D505" s="416" t="n"/>
      <c r="E505" s="416">
        <f>SUMIFS($E$472:$E$503,$B$472:$B$503,B505,$C$472:$C$503,C505)</f>
        <v/>
      </c>
      <c r="F505" s="416">
        <f>E504</f>
        <v/>
      </c>
      <c r="G505" s="416" t="n"/>
      <c r="H505" s="417" t="n"/>
    </row>
    <row r="506" ht="15" customHeight="1" s="210">
      <c r="A506" s="386">
        <f>LEFT(B506, FIND("-", B506) - 1)</f>
        <v/>
      </c>
      <c r="B506" s="386" t="inlineStr">
        <is>
          <t>TRAN-PASSTYPE</t>
        </is>
      </c>
      <c r="C506" s="415" t="inlineStr">
        <is>
          <t>2021</t>
        </is>
      </c>
      <c r="D506" s="416" t="n"/>
      <c r="E506" s="416">
        <f>SUMIFS($E$472:$E$503,$B$472:$B$503,B506,$C$472:$C$503,C506)</f>
        <v/>
      </c>
      <c r="F506" s="416">
        <f>E505</f>
        <v/>
      </c>
      <c r="G506" s="416" t="n"/>
      <c r="H506" s="417" t="n"/>
    </row>
    <row r="507" ht="15" customHeight="1" s="210">
      <c r="A507" s="386">
        <f>LEFT(B507, FIND("-", B507) - 1)</f>
        <v/>
      </c>
      <c r="B507" s="386" t="inlineStr">
        <is>
          <t>TRAN-PASSTYPE</t>
        </is>
      </c>
      <c r="C507" s="415" t="inlineStr">
        <is>
          <t>2022</t>
        </is>
      </c>
      <c r="D507" s="416" t="n"/>
      <c r="E507" s="416">
        <f>SUMIFS($E$472:$E$503,$B$472:$B$503,B507,$C$472:$C$503,C507)</f>
        <v/>
      </c>
      <c r="F507" s="416">
        <f>E506</f>
        <v/>
      </c>
      <c r="G507" s="416" t="n"/>
      <c r="H507" s="417" t="n"/>
    </row>
    <row r="508" ht="15" customHeight="1" s="210">
      <c r="A508" s="386">
        <f>LEFT(B508, FIND("-", B508) - 1)</f>
        <v/>
      </c>
      <c r="B508" s="386" t="inlineStr">
        <is>
          <t>TRAN-PASSTYPE</t>
        </is>
      </c>
      <c r="C508" s="415" t="inlineStr">
        <is>
          <t>2023</t>
        </is>
      </c>
      <c r="D508" s="416" t="n"/>
      <c r="E508" s="416">
        <f>SUMIFS($E$472:$E$503,$B$472:$B$503,B508,$C$472:$C$503,C508)</f>
        <v/>
      </c>
      <c r="F508" s="416">
        <f>E507</f>
        <v/>
      </c>
      <c r="G508" s="416" t="n"/>
      <c r="H508" s="417" t="n"/>
    </row>
    <row r="509" ht="15" customHeight="1" s="210">
      <c r="A509" s="386">
        <f>LEFT(B509, FIND("-", B509) - 1)</f>
        <v/>
      </c>
      <c r="B509" s="386" t="inlineStr">
        <is>
          <t>TRAN-PASSTYPE</t>
        </is>
      </c>
      <c r="C509" s="415" t="inlineStr">
        <is>
          <t>2024</t>
        </is>
      </c>
      <c r="D509" s="416" t="n"/>
      <c r="E509" s="416">
        <f>SUMIFS($E$472:$E$503,$B$472:$B$503,B509,$C$472:$C$503,C509)</f>
        <v/>
      </c>
      <c r="F509" s="416">
        <f>E508</f>
        <v/>
      </c>
      <c r="G509" s="416" t="n"/>
      <c r="H509" s="417" t="n"/>
    </row>
    <row r="510" ht="15" customHeight="1" s="210">
      <c r="A510" s="386">
        <f>LEFT(B510, FIND("-", B510) - 1)</f>
        <v/>
      </c>
      <c r="B510" s="386" t="inlineStr">
        <is>
          <t>TRAN-PASSTYPE</t>
        </is>
      </c>
      <c r="C510" s="415" t="inlineStr">
        <is>
          <t>2025</t>
        </is>
      </c>
      <c r="D510" s="416" t="n"/>
      <c r="E510" s="416">
        <f>SUMIFS($E$472:$E$503,$B$472:$B$503,B510,$C$472:$C$503,C510)</f>
        <v/>
      </c>
      <c r="F510" s="416">
        <f>E509</f>
        <v/>
      </c>
      <c r="G510" s="416" t="n"/>
      <c r="H510" s="417" t="n"/>
    </row>
    <row r="511" ht="15" customHeight="1" s="210">
      <c r="A511" s="386">
        <f>LEFT(B511, FIND("-", B511) - 1)</f>
        <v/>
      </c>
      <c r="B511" s="386" t="inlineStr">
        <is>
          <t>TRAN-PASSTYPE</t>
        </is>
      </c>
      <c r="C511" s="415" t="inlineStr">
        <is>
          <t>2026</t>
        </is>
      </c>
      <c r="D511" s="416" t="n"/>
      <c r="E511" s="416">
        <f>SUMIFS($E$472:$E$503,$B$472:$B$503,B511,$C$472:$C$503,C511)</f>
        <v/>
      </c>
      <c r="F511" s="416" t="n">
        <v>340695</v>
      </c>
      <c r="G511" s="416" t="n"/>
      <c r="H511" s="417" t="inlineStr">
        <is>
          <t>2026 covers January–September only (year to date). Target is January–September 2025 (340,695 rides).</t>
        </is>
      </c>
    </row>
    <row r="512" ht="15" customHeight="1" s="210">
      <c r="A512" s="386">
        <f>LEFT(B512, FIND("-", B512) - 1)</f>
        <v/>
      </c>
      <c r="B512" s="386" t="inlineStr">
        <is>
          <t>TRAN-FAREBOX</t>
        </is>
      </c>
      <c r="C512" s="415" t="inlineStr">
        <is>
          <t>2019</t>
        </is>
      </c>
      <c r="D512" s="416" t="inlineStr">
        <is>
          <t>Loop</t>
        </is>
      </c>
      <c r="E512" s="416" t="n">
        <v>54234.96</v>
      </c>
      <c r="F512" s="416" t="n"/>
      <c r="G512" s="416" t="n"/>
      <c r="H512" s="417" t="n"/>
    </row>
    <row r="513" ht="15" customHeight="1" s="210">
      <c r="A513" s="386">
        <f>LEFT(B513, FIND("-", B513) - 1)</f>
        <v/>
      </c>
      <c r="B513" s="386" t="inlineStr">
        <is>
          <t>TRAN-FAREBOX</t>
        </is>
      </c>
      <c r="C513" s="415" t="inlineStr">
        <is>
          <t>2019</t>
        </is>
      </c>
      <c r="D513" s="416" t="inlineStr">
        <is>
          <t>Trolley</t>
        </is>
      </c>
      <c r="E513" s="416" t="n">
        <v>73870.91</v>
      </c>
      <c r="F513" s="416" t="n"/>
      <c r="G513" s="416" t="n"/>
      <c r="H513" s="417" t="n"/>
    </row>
    <row r="514" ht="15" customHeight="1" s="210">
      <c r="A514" s="386">
        <f>LEFT(B514, FIND("-", B514) - 1)</f>
        <v/>
      </c>
      <c r="B514" s="386" t="inlineStr">
        <is>
          <t>TRAN-FAREBOX</t>
        </is>
      </c>
      <c r="C514" s="415" t="inlineStr">
        <is>
          <t>2020</t>
        </is>
      </c>
      <c r="D514" s="416" t="inlineStr">
        <is>
          <t>Loop</t>
        </is>
      </c>
      <c r="E514" s="416" t="n">
        <v>36117.08</v>
      </c>
      <c r="F514" s="416" t="n"/>
      <c r="G514" s="416" t="n"/>
      <c r="H514" s="417" t="n"/>
    </row>
    <row r="515" ht="15" customHeight="1" s="210">
      <c r="A515" s="386">
        <f>LEFT(B515, FIND("-", B515) - 1)</f>
        <v/>
      </c>
      <c r="B515" s="386" t="inlineStr">
        <is>
          <t>TRAN-FAREBOX</t>
        </is>
      </c>
      <c r="C515" s="415" t="inlineStr">
        <is>
          <t>2020</t>
        </is>
      </c>
      <c r="D515" s="416" t="inlineStr">
        <is>
          <t>Trolley</t>
        </is>
      </c>
      <c r="E515" s="416" t="n">
        <v>44602.59</v>
      </c>
      <c r="F515" s="416" t="n"/>
      <c r="G515" s="416" t="n"/>
      <c r="H515" s="417" t="n"/>
    </row>
    <row r="516" ht="15" customHeight="1" s="210">
      <c r="A516" s="386">
        <f>LEFT(B516, FIND("-", B516) - 1)</f>
        <v/>
      </c>
      <c r="B516" s="386" t="inlineStr">
        <is>
          <t>TRAN-FAREBOX</t>
        </is>
      </c>
      <c r="C516" s="415" t="inlineStr">
        <is>
          <t>2021</t>
        </is>
      </c>
      <c r="D516" s="416" t="inlineStr">
        <is>
          <t>Loop</t>
        </is>
      </c>
      <c r="E516" s="416" t="n">
        <v>43968.72</v>
      </c>
      <c r="F516" s="416" t="n"/>
      <c r="G516" s="416" t="n"/>
      <c r="H516" s="417" t="n"/>
    </row>
    <row r="517" ht="15" customHeight="1" s="210">
      <c r="A517" s="386">
        <f>LEFT(B517, FIND("-", B517) - 1)</f>
        <v/>
      </c>
      <c r="B517" s="386" t="inlineStr">
        <is>
          <t>TRAN-FAREBOX</t>
        </is>
      </c>
      <c r="C517" s="415" t="inlineStr">
        <is>
          <t>2021</t>
        </is>
      </c>
      <c r="D517" s="416" t="inlineStr">
        <is>
          <t>Trolley</t>
        </is>
      </c>
      <c r="E517" s="416" t="n">
        <v>50408.54</v>
      </c>
      <c r="F517" s="416" t="n"/>
      <c r="G517" s="416" t="n"/>
      <c r="H517" s="417" t="n"/>
    </row>
    <row r="518" ht="15" customHeight="1" s="210">
      <c r="A518" s="386">
        <f>LEFT(B518, FIND("-", B518) - 1)</f>
        <v/>
      </c>
      <c r="B518" s="386" t="inlineStr">
        <is>
          <t>TRAN-FAREBOX</t>
        </is>
      </c>
      <c r="C518" s="415" t="inlineStr">
        <is>
          <t>2022</t>
        </is>
      </c>
      <c r="D518" s="416" t="inlineStr">
        <is>
          <t>Loop</t>
        </is>
      </c>
      <c r="E518" s="416" t="n">
        <v>48660.14</v>
      </c>
      <c r="F518" s="416" t="n"/>
      <c r="G518" s="416" t="n"/>
      <c r="H518" s="417" t="n"/>
    </row>
    <row r="519" ht="15" customHeight="1" s="210">
      <c r="A519" s="386">
        <f>LEFT(B519, FIND("-", B519) - 1)</f>
        <v/>
      </c>
      <c r="B519" s="386" t="inlineStr">
        <is>
          <t>TRAN-FAREBOX</t>
        </is>
      </c>
      <c r="C519" s="415" t="inlineStr">
        <is>
          <t>2022</t>
        </is>
      </c>
      <c r="D519" s="416" t="inlineStr">
        <is>
          <t>Trolley</t>
        </is>
      </c>
      <c r="E519" s="416" t="n">
        <v>50053.32</v>
      </c>
      <c r="F519" s="416" t="n"/>
      <c r="G519" s="416" t="n"/>
      <c r="H519" s="417" t="n"/>
    </row>
    <row r="520" ht="15" customHeight="1" s="210">
      <c r="A520" s="386">
        <f>LEFT(B520, FIND("-", B520) - 1)</f>
        <v/>
      </c>
      <c r="B520" s="386" t="inlineStr">
        <is>
          <t>TRAN-FAREBOX</t>
        </is>
      </c>
      <c r="C520" s="415" t="inlineStr">
        <is>
          <t>2023</t>
        </is>
      </c>
      <c r="D520" s="416" t="inlineStr">
        <is>
          <t>Loop</t>
        </is>
      </c>
      <c r="E520" s="416" t="n">
        <v>53121.05</v>
      </c>
      <c r="F520" s="416" t="n"/>
      <c r="G520" s="416" t="n"/>
      <c r="H520" s="417" t="n"/>
    </row>
    <row r="521" ht="15" customHeight="1" s="210">
      <c r="A521" s="386">
        <f>LEFT(B521, FIND("-", B521) - 1)</f>
        <v/>
      </c>
      <c r="B521" s="386" t="inlineStr">
        <is>
          <t>TRAN-FAREBOX</t>
        </is>
      </c>
      <c r="C521" s="415" t="inlineStr">
        <is>
          <t>2023</t>
        </is>
      </c>
      <c r="D521" s="416" t="inlineStr">
        <is>
          <t>Trolley</t>
        </is>
      </c>
      <c r="E521" s="416" t="n">
        <v>44186.29</v>
      </c>
      <c r="F521" s="416" t="n"/>
      <c r="G521" s="416" t="n"/>
      <c r="H521" s="417" t="n"/>
    </row>
    <row r="522" ht="15" customHeight="1" s="210">
      <c r="A522" s="386">
        <f>LEFT(B522, FIND("-", B522) - 1)</f>
        <v/>
      </c>
      <c r="B522" s="386" t="inlineStr">
        <is>
          <t>TRAN-FAREBOX</t>
        </is>
      </c>
      <c r="C522" s="415" t="inlineStr">
        <is>
          <t>2024</t>
        </is>
      </c>
      <c r="D522" s="416" t="inlineStr">
        <is>
          <t>Loop</t>
        </is>
      </c>
      <c r="E522" s="416" t="n">
        <v>54104.75</v>
      </c>
      <c r="F522" s="416" t="n"/>
      <c r="G522" s="416" t="n"/>
      <c r="H522" s="417" t="n"/>
    </row>
    <row r="523" ht="15" customHeight="1" s="210">
      <c r="A523" s="386">
        <f>LEFT(B523, FIND("-", B523) - 1)</f>
        <v/>
      </c>
      <c r="B523" s="386" t="inlineStr">
        <is>
          <t>TRAN-FAREBOX</t>
        </is>
      </c>
      <c r="C523" s="415" t="inlineStr">
        <is>
          <t>2024</t>
        </is>
      </c>
      <c r="D523" s="416" t="inlineStr">
        <is>
          <t>Trolley</t>
        </is>
      </c>
      <c r="E523" s="416" t="n">
        <v>42382.4</v>
      </c>
      <c r="F523" s="416" t="n"/>
      <c r="G523" s="416" t="n"/>
      <c r="H523" s="417" t="n"/>
    </row>
    <row r="524" ht="15" customHeight="1" s="210">
      <c r="A524" s="386">
        <f>LEFT(B524, FIND("-", B524) - 1)</f>
        <v/>
      </c>
      <c r="B524" s="386" t="inlineStr">
        <is>
          <t>TRAN-FAREBOX</t>
        </is>
      </c>
      <c r="C524" s="415" t="inlineStr">
        <is>
          <t>2025</t>
        </is>
      </c>
      <c r="D524" s="416" t="inlineStr">
        <is>
          <t>Loop</t>
        </is>
      </c>
      <c r="E524" s="416" t="n">
        <v>51880.31</v>
      </c>
      <c r="F524" s="416" t="n"/>
      <c r="G524" s="416" t="n"/>
      <c r="H524" s="417" t="n"/>
    </row>
    <row r="525" ht="15" customHeight="1" s="210">
      <c r="A525" s="386">
        <f>LEFT(B525, FIND("-", B525) - 1)</f>
        <v/>
      </c>
      <c r="B525" s="386" t="inlineStr">
        <is>
          <t>TRAN-FAREBOX</t>
        </is>
      </c>
      <c r="C525" s="415" t="inlineStr">
        <is>
          <t>2025</t>
        </is>
      </c>
      <c r="D525" s="416" t="inlineStr">
        <is>
          <t>Trolley</t>
        </is>
      </c>
      <c r="E525" s="416" t="n">
        <v>36812.53</v>
      </c>
      <c r="F525" s="416" t="n"/>
      <c r="G525" s="416" t="n"/>
      <c r="H525" s="417" t="n"/>
    </row>
    <row r="526" ht="15" customHeight="1" s="210">
      <c r="A526" s="386">
        <f>LEFT(B526, FIND("-", B526) - 1)</f>
        <v/>
      </c>
      <c r="B526" s="386" t="inlineStr">
        <is>
          <t>TRAN-FAREBOX</t>
        </is>
      </c>
      <c r="C526" s="415" t="inlineStr">
        <is>
          <t>2026</t>
        </is>
      </c>
      <c r="D526" s="416" t="inlineStr">
        <is>
          <t>Loop</t>
        </is>
      </c>
      <c r="E526" s="416" t="n">
        <v>34560.25</v>
      </c>
      <c r="F526" s="416" t="n"/>
      <c r="G526" s="416" t="n"/>
      <c r="H526" s="417" t="inlineStr">
        <is>
          <t>2026 covers January–September only (year to date).</t>
        </is>
      </c>
    </row>
    <row r="527" ht="15" customHeight="1" s="210">
      <c r="A527" s="386">
        <f>LEFT(B527, FIND("-", B527) - 1)</f>
        <v/>
      </c>
      <c r="B527" s="386" t="inlineStr">
        <is>
          <t>TRAN-FAREBOX</t>
        </is>
      </c>
      <c r="C527" s="415" t="inlineStr">
        <is>
          <t>2026</t>
        </is>
      </c>
      <c r="D527" s="416" t="inlineStr">
        <is>
          <t>Trolley</t>
        </is>
      </c>
      <c r="E527" s="416" t="n">
        <v>22019.42</v>
      </c>
      <c r="F527" s="416" t="n"/>
      <c r="G527" s="416" t="n"/>
      <c r="H527" s="417" t="inlineStr">
        <is>
          <t>2026 covers January–September only (year to date).</t>
        </is>
      </c>
    </row>
    <row r="528" ht="15" customHeight="1" s="210">
      <c r="A528" s="386">
        <f>LEFT(B528, FIND("-", B528) - 1)</f>
        <v/>
      </c>
      <c r="B528" s="386" t="inlineStr">
        <is>
          <t>TRAN-FAREBOX</t>
        </is>
      </c>
      <c r="C528" s="415" t="inlineStr">
        <is>
          <t>2019</t>
        </is>
      </c>
      <c r="D528" s="416" t="n"/>
      <c r="E528" s="416">
        <f>SUMIFS($E$512:$E$527,$B$512:$B$527,B528,$C$512:$C$527,C528)</f>
        <v/>
      </c>
      <c r="F528" s="416" t="n"/>
      <c r="G528" s="416" t="n"/>
      <c r="H528" s="417" t="n"/>
    </row>
    <row r="529" ht="15" customHeight="1" s="210">
      <c r="A529" s="386">
        <f>LEFT(B529, FIND("-", B529) - 1)</f>
        <v/>
      </c>
      <c r="B529" s="386" t="inlineStr">
        <is>
          <t>TRAN-FAREBOX</t>
        </is>
      </c>
      <c r="C529" s="415" t="inlineStr">
        <is>
          <t>2020</t>
        </is>
      </c>
      <c r="D529" s="416" t="n"/>
      <c r="E529" s="416">
        <f>SUMIFS($E$512:$E$527,$B$512:$B$527,B529,$C$512:$C$527,C529)</f>
        <v/>
      </c>
      <c r="F529" s="416">
        <f>E528</f>
        <v/>
      </c>
      <c r="G529" s="416" t="n"/>
      <c r="H529" s="417" t="n"/>
    </row>
    <row r="530" ht="15" customHeight="1" s="210">
      <c r="A530" s="386">
        <f>LEFT(B530, FIND("-", B530) - 1)</f>
        <v/>
      </c>
      <c r="B530" s="386" t="inlineStr">
        <is>
          <t>TRAN-FAREBOX</t>
        </is>
      </c>
      <c r="C530" s="415" t="inlineStr">
        <is>
          <t>2021</t>
        </is>
      </c>
      <c r="D530" s="416" t="n"/>
      <c r="E530" s="416">
        <f>SUMIFS($E$512:$E$527,$B$512:$B$527,B530,$C$512:$C$527,C530)</f>
        <v/>
      </c>
      <c r="F530" s="416">
        <f>E529</f>
        <v/>
      </c>
      <c r="G530" s="416" t="n"/>
      <c r="H530" s="417" t="n"/>
    </row>
    <row r="531" ht="15" customHeight="1" s="210">
      <c r="A531" s="386">
        <f>LEFT(B531, FIND("-", B531) - 1)</f>
        <v/>
      </c>
      <c r="B531" s="386" t="inlineStr">
        <is>
          <t>TRAN-FAREBOX</t>
        </is>
      </c>
      <c r="C531" s="415" t="inlineStr">
        <is>
          <t>2022</t>
        </is>
      </c>
      <c r="D531" s="416" t="n"/>
      <c r="E531" s="416">
        <f>SUMIFS($E$512:$E$527,$B$512:$B$527,B531,$C$512:$C$527,C531)</f>
        <v/>
      </c>
      <c r="F531" s="416">
        <f>E530</f>
        <v/>
      </c>
      <c r="G531" s="416" t="n"/>
      <c r="H531" s="417" t="n"/>
    </row>
    <row r="532" ht="15" customHeight="1" s="210">
      <c r="A532" s="386">
        <f>LEFT(B532, FIND("-", B532) - 1)</f>
        <v/>
      </c>
      <c r="B532" s="386" t="inlineStr">
        <is>
          <t>TRAN-FAREBOX</t>
        </is>
      </c>
      <c r="C532" s="415" t="inlineStr">
        <is>
          <t>2023</t>
        </is>
      </c>
      <c r="D532" s="416" t="n"/>
      <c r="E532" s="416">
        <f>SUMIFS($E$512:$E$527,$B$512:$B$527,B532,$C$512:$C$527,C532)</f>
        <v/>
      </c>
      <c r="F532" s="416">
        <f>E531</f>
        <v/>
      </c>
      <c r="G532" s="416" t="n"/>
      <c r="H532" s="417" t="n"/>
    </row>
    <row r="533" ht="15" customHeight="1" s="210">
      <c r="A533" s="386">
        <f>LEFT(B533, FIND("-", B533) - 1)</f>
        <v/>
      </c>
      <c r="B533" s="386" t="inlineStr">
        <is>
          <t>TRAN-FAREBOX</t>
        </is>
      </c>
      <c r="C533" s="415" t="inlineStr">
        <is>
          <t>2024</t>
        </is>
      </c>
      <c r="D533" s="416" t="n"/>
      <c r="E533" s="416">
        <f>SUMIFS($E$512:$E$527,$B$512:$B$527,B533,$C$512:$C$527,C533)</f>
        <v/>
      </c>
      <c r="F533" s="416">
        <f>E532</f>
        <v/>
      </c>
      <c r="G533" s="416" t="n"/>
      <c r="H533" s="417" t="n"/>
    </row>
    <row r="534" ht="15" customHeight="1" s="210">
      <c r="A534" s="386">
        <f>LEFT(B534, FIND("-", B534) - 1)</f>
        <v/>
      </c>
      <c r="B534" s="386" t="inlineStr">
        <is>
          <t>TRAN-FAREBOX</t>
        </is>
      </c>
      <c r="C534" s="415" t="inlineStr">
        <is>
          <t>2025</t>
        </is>
      </c>
      <c r="D534" s="416" t="n"/>
      <c r="E534" s="416">
        <f>SUMIFS($E$512:$E$527,$B$512:$B$527,B534,$C$512:$C$527,C534)</f>
        <v/>
      </c>
      <c r="F534" s="416">
        <f>E533</f>
        <v/>
      </c>
      <c r="G534" s="416" t="n"/>
      <c r="H534" s="417" t="n"/>
    </row>
    <row r="535" ht="15" customHeight="1" s="210">
      <c r="A535" s="386">
        <f>LEFT(B535, FIND("-", B535) - 1)</f>
        <v/>
      </c>
      <c r="B535" s="386" t="inlineStr">
        <is>
          <t>TRAN-FAREBOX</t>
        </is>
      </c>
      <c r="C535" s="415" t="inlineStr">
        <is>
          <t>2026</t>
        </is>
      </c>
      <c r="D535" s="416" t="n"/>
      <c r="E535" s="416">
        <f>SUMIFS($E$512:$E$527,$B$512:$B$527,B535,$C$512:$C$527,C535)</f>
        <v/>
      </c>
      <c r="F535" s="416" t="n">
        <v>61226.87</v>
      </c>
      <c r="G535" s="416" t="n"/>
      <c r="H535" s="417" t="inlineStr">
        <is>
          <t>2026 covers January–September only (year to date). Target is January–September 2025 ($61,227 in fares).</t>
        </is>
      </c>
    </row>
    <row r="536" ht="15" customHeight="1" s="210">
      <c r="A536" s="386">
        <f>LEFT(B536, FIND("-", B536) - 1)</f>
        <v/>
      </c>
      <c r="B536" s="386" t="inlineStr">
        <is>
          <t>TRAN-MILEAGE</t>
        </is>
      </c>
      <c r="C536" s="415" t="inlineStr">
        <is>
          <t>2019</t>
        </is>
      </c>
      <c r="D536" s="416" t="inlineStr">
        <is>
          <t>Vehicle miles</t>
        </is>
      </c>
      <c r="E536" s="416" t="n">
        <v>337763</v>
      </c>
      <c r="F536" s="416" t="n"/>
      <c r="G536" s="416" t="n"/>
      <c r="H536" s="417" t="n"/>
    </row>
    <row r="537" ht="15" customHeight="1" s="210">
      <c r="A537" s="386">
        <f>LEFT(B537, FIND("-", B537) - 1)</f>
        <v/>
      </c>
      <c r="B537" s="386" t="inlineStr">
        <is>
          <t>TRAN-MILEAGE</t>
        </is>
      </c>
      <c r="C537" s="415" t="inlineStr">
        <is>
          <t>2019</t>
        </is>
      </c>
      <c r="D537" s="416" t="inlineStr">
        <is>
          <t>Vehicle hours</t>
        </is>
      </c>
      <c r="E537" s="416" t="n">
        <v>24764</v>
      </c>
      <c r="F537" s="416" t="n"/>
      <c r="G537" s="416" t="n"/>
      <c r="H537" s="417" t="n"/>
    </row>
    <row r="538" ht="15" customHeight="1" s="210">
      <c r="A538" s="386">
        <f>LEFT(B538, FIND("-", B538) - 1)</f>
        <v/>
      </c>
      <c r="B538" s="386" t="inlineStr">
        <is>
          <t>TRAN-MILEAGE</t>
        </is>
      </c>
      <c r="C538" s="415" t="inlineStr">
        <is>
          <t>2020</t>
        </is>
      </c>
      <c r="D538" s="416" t="inlineStr">
        <is>
          <t>Vehicle miles</t>
        </is>
      </c>
      <c r="E538" s="416" t="n">
        <v>321894</v>
      </c>
      <c r="F538" s="416" t="n"/>
      <c r="G538" s="416" t="n"/>
      <c r="H538" s="417" t="n"/>
    </row>
    <row r="539" ht="15" customHeight="1" s="210">
      <c r="A539" s="386">
        <f>LEFT(B539, FIND("-", B539) - 1)</f>
        <v/>
      </c>
      <c r="B539" s="386" t="inlineStr">
        <is>
          <t>TRAN-MILEAGE</t>
        </is>
      </c>
      <c r="C539" s="415" t="inlineStr">
        <is>
          <t>2020</t>
        </is>
      </c>
      <c r="D539" s="416" t="inlineStr">
        <is>
          <t>Vehicle hours</t>
        </is>
      </c>
      <c r="E539" s="416" t="n">
        <v>23239</v>
      </c>
      <c r="F539" s="416" t="n"/>
      <c r="G539" s="416" t="n"/>
      <c r="H539" s="417" t="n"/>
    </row>
    <row r="540" ht="15" customHeight="1" s="210">
      <c r="A540" s="386">
        <f>LEFT(B540, FIND("-", B540) - 1)</f>
        <v/>
      </c>
      <c r="B540" s="386" t="inlineStr">
        <is>
          <t>TRAN-MILEAGE</t>
        </is>
      </c>
      <c r="C540" s="415" t="inlineStr">
        <is>
          <t>2021</t>
        </is>
      </c>
      <c r="D540" s="416" t="inlineStr">
        <is>
          <t>Vehicle miles</t>
        </is>
      </c>
      <c r="E540" s="416" t="n">
        <v>405442</v>
      </c>
      <c r="F540" s="416" t="n"/>
      <c r="G540" s="416" t="n"/>
      <c r="H540" s="417" t="n"/>
    </row>
    <row r="541" ht="15" customHeight="1" s="210">
      <c r="A541" s="386">
        <f>LEFT(B541, FIND("-", B541) - 1)</f>
        <v/>
      </c>
      <c r="B541" s="386" t="inlineStr">
        <is>
          <t>TRAN-MILEAGE</t>
        </is>
      </c>
      <c r="C541" s="415" t="inlineStr">
        <is>
          <t>2021</t>
        </is>
      </c>
      <c r="D541" s="416" t="inlineStr">
        <is>
          <t>Vehicle hours</t>
        </is>
      </c>
      <c r="E541" s="416" t="n">
        <v>27284</v>
      </c>
      <c r="F541" s="416" t="n"/>
      <c r="G541" s="416" t="n"/>
      <c r="H541" s="417" t="n"/>
    </row>
    <row r="542" ht="15" customHeight="1" s="210">
      <c r="A542" s="386">
        <f>LEFT(B542, FIND("-", B542) - 1)</f>
        <v/>
      </c>
      <c r="B542" s="386" t="inlineStr">
        <is>
          <t>TRAN-MILEAGE</t>
        </is>
      </c>
      <c r="C542" s="415" t="inlineStr">
        <is>
          <t>2022</t>
        </is>
      </c>
      <c r="D542" s="416" t="inlineStr">
        <is>
          <t>Vehicle miles</t>
        </is>
      </c>
      <c r="E542" s="416" t="n">
        <v>459926</v>
      </c>
      <c r="F542" s="416" t="n"/>
      <c r="G542" s="416" t="n"/>
      <c r="H542" s="417" t="n"/>
    </row>
    <row r="543" ht="15" customHeight="1" s="210">
      <c r="A543" s="386">
        <f>LEFT(B543, FIND("-", B543) - 1)</f>
        <v/>
      </c>
      <c r="B543" s="386" t="inlineStr">
        <is>
          <t>TRAN-MILEAGE</t>
        </is>
      </c>
      <c r="C543" s="415" t="inlineStr">
        <is>
          <t>2022</t>
        </is>
      </c>
      <c r="D543" s="416" t="inlineStr">
        <is>
          <t>Vehicle hours</t>
        </is>
      </c>
      <c r="E543" s="416" t="n">
        <v>30223</v>
      </c>
      <c r="F543" s="416" t="n"/>
      <c r="G543" s="416" t="n"/>
      <c r="H543" s="417" t="n"/>
    </row>
    <row r="544" ht="15" customHeight="1" s="210">
      <c r="A544" s="386">
        <f>LEFT(B544, FIND("-", B544) - 1)</f>
        <v/>
      </c>
      <c r="B544" s="386" t="inlineStr">
        <is>
          <t>TRAN-MILEAGE</t>
        </is>
      </c>
      <c r="C544" s="415" t="inlineStr">
        <is>
          <t>2023</t>
        </is>
      </c>
      <c r="D544" s="416" t="inlineStr">
        <is>
          <t>Vehicle miles</t>
        </is>
      </c>
      <c r="E544" s="416" t="n">
        <v>493315</v>
      </c>
      <c r="F544" s="416" t="n"/>
      <c r="G544" s="416" t="n"/>
      <c r="H544" s="417" t="n"/>
    </row>
    <row r="545" ht="15" customHeight="1" s="210">
      <c r="A545" s="386">
        <f>LEFT(B545, FIND("-", B545) - 1)</f>
        <v/>
      </c>
      <c r="B545" s="386" t="inlineStr">
        <is>
          <t>TRAN-MILEAGE</t>
        </is>
      </c>
      <c r="C545" s="415" t="inlineStr">
        <is>
          <t>2023</t>
        </is>
      </c>
      <c r="D545" s="416" t="inlineStr">
        <is>
          <t>Vehicle hours</t>
        </is>
      </c>
      <c r="E545" s="416" t="n">
        <v>27288</v>
      </c>
      <c r="F545" s="416" t="n"/>
      <c r="G545" s="416" t="n"/>
      <c r="H545" s="417" t="n"/>
    </row>
    <row r="546" ht="15" customHeight="1" s="210">
      <c r="A546" s="386">
        <f>LEFT(B546, FIND("-", B546) - 1)</f>
        <v/>
      </c>
      <c r="B546" s="386" t="inlineStr">
        <is>
          <t>TRAN-MILEAGE</t>
        </is>
      </c>
      <c r="C546" s="415" t="inlineStr">
        <is>
          <t>2024</t>
        </is>
      </c>
      <c r="D546" s="416" t="inlineStr">
        <is>
          <t>Vehicle miles</t>
        </is>
      </c>
      <c r="E546" s="416" t="n">
        <v>503452</v>
      </c>
      <c r="F546" s="416" t="n"/>
      <c r="G546" s="416" t="n"/>
      <c r="H546" s="417" t="n"/>
    </row>
    <row r="547" ht="15" customHeight="1" s="210">
      <c r="A547" s="386">
        <f>LEFT(B547, FIND("-", B547) - 1)</f>
        <v/>
      </c>
      <c r="B547" s="386" t="inlineStr">
        <is>
          <t>TRAN-MILEAGE</t>
        </is>
      </c>
      <c r="C547" s="415" t="inlineStr">
        <is>
          <t>2024</t>
        </is>
      </c>
      <c r="D547" s="416" t="inlineStr">
        <is>
          <t>Vehicle hours</t>
        </is>
      </c>
      <c r="E547" s="416" t="n">
        <v>29281</v>
      </c>
      <c r="F547" s="416" t="n"/>
      <c r="G547" s="416" t="n"/>
      <c r="H547" s="417" t="n"/>
    </row>
    <row r="548" ht="15" customHeight="1" s="210">
      <c r="A548" s="386">
        <f>LEFT(B548, FIND("-", B548) - 1)</f>
        <v/>
      </c>
      <c r="B548" s="386" t="inlineStr">
        <is>
          <t>TRAN-MILEAGE</t>
        </is>
      </c>
      <c r="C548" s="415" t="inlineStr">
        <is>
          <t>2025</t>
        </is>
      </c>
      <c r="D548" s="416" t="inlineStr">
        <is>
          <t>Vehicle miles</t>
        </is>
      </c>
      <c r="E548" s="416" t="n">
        <v>503683</v>
      </c>
      <c r="F548" s="416" t="n"/>
      <c r="G548" s="416" t="n"/>
      <c r="H548" s="417" t="n"/>
    </row>
    <row r="549" ht="15" customHeight="1" s="210">
      <c r="A549" s="386">
        <f>LEFT(B549, FIND("-", B549) - 1)</f>
        <v/>
      </c>
      <c r="B549" s="386" t="inlineStr">
        <is>
          <t>TRAN-MILEAGE</t>
        </is>
      </c>
      <c r="C549" s="415" t="inlineStr">
        <is>
          <t>2025</t>
        </is>
      </c>
      <c r="D549" s="416" t="inlineStr">
        <is>
          <t>Vehicle hours</t>
        </is>
      </c>
      <c r="E549" s="416" t="n">
        <v>31064</v>
      </c>
      <c r="F549" s="416" t="n"/>
      <c r="G549" s="416" t="n"/>
      <c r="H549" s="417" t="n"/>
    </row>
    <row r="550" ht="15" customHeight="1" s="210">
      <c r="A550" s="386">
        <f>LEFT(B550, FIND("-", B550) - 1)</f>
        <v/>
      </c>
      <c r="B550" s="386" t="inlineStr">
        <is>
          <t>TRAN-MILEAGE</t>
        </is>
      </c>
      <c r="C550" s="415" t="inlineStr">
        <is>
          <t>2026</t>
        </is>
      </c>
      <c r="D550" s="416" t="inlineStr">
        <is>
          <t>Vehicle miles</t>
        </is>
      </c>
      <c r="E550" s="416" t="n">
        <v>393750</v>
      </c>
      <c r="F550" s="416" t="n"/>
      <c r="G550" s="416" t="n"/>
      <c r="H550" s="417" t="inlineStr">
        <is>
          <t>2026 covers January–September only (year to date).</t>
        </is>
      </c>
    </row>
    <row r="551" ht="15" customHeight="1" s="210">
      <c r="A551" s="386">
        <f>LEFT(B551, FIND("-", B551) - 1)</f>
        <v/>
      </c>
      <c r="B551" s="386" t="inlineStr">
        <is>
          <t>TRAN-MILEAGE</t>
        </is>
      </c>
      <c r="C551" s="415" t="inlineStr">
        <is>
          <t>2026</t>
        </is>
      </c>
      <c r="D551" s="416" t="inlineStr">
        <is>
          <t>Vehicle hours</t>
        </is>
      </c>
      <c r="E551" s="416" t="n">
        <v>23583</v>
      </c>
      <c r="F551" s="416" t="n"/>
      <c r="G551" s="416" t="n"/>
      <c r="H551" s="417" t="inlineStr">
        <is>
          <t>2026 covers January–September only (year to date).</t>
        </is>
      </c>
    </row>
    <row r="552" ht="15" customHeight="1" s="210">
      <c r="A552" s="386">
        <f>LEFT(B552, FIND("-", B552) - 1)</f>
        <v/>
      </c>
      <c r="B552" s="386" t="inlineStr">
        <is>
          <t>TRAN-TOTALRIDERSHIP</t>
        </is>
      </c>
      <c r="C552" s="415" t="inlineStr">
        <is>
          <t>2020</t>
        </is>
      </c>
      <c r="D552" s="416" t="inlineStr">
        <is>
          <t>Fixed route</t>
        </is>
      </c>
      <c r="E552" s="416" t="n">
        <v>229195</v>
      </c>
      <c r="F552" s="416" t="n"/>
      <c r="G552" s="416" t="n"/>
      <c r="H552" s="417" t="n"/>
    </row>
    <row r="553" ht="15" customHeight="1" s="210">
      <c r="A553" s="386">
        <f>LEFT(B553, FIND("-", B553) - 1)</f>
        <v/>
      </c>
      <c r="B553" s="386" t="inlineStr">
        <is>
          <t>TRAN-TOTALRIDERSHIP</t>
        </is>
      </c>
      <c r="C553" s="415" t="inlineStr">
        <is>
          <t>2020</t>
        </is>
      </c>
      <c r="D553" s="416" t="inlineStr">
        <is>
          <t>Paratransit</t>
        </is>
      </c>
      <c r="E553" s="416" t="n">
        <v>2587</v>
      </c>
      <c r="F553" s="416" t="n"/>
      <c r="G553" s="416" t="n"/>
      <c r="H553" s="417" t="n"/>
    </row>
    <row r="554" ht="15" customHeight="1" s="210">
      <c r="A554" s="386">
        <f>LEFT(B554, FIND("-", B554) - 1)</f>
        <v/>
      </c>
      <c r="B554" s="386" t="inlineStr">
        <is>
          <t>TRAN-TOTALRIDERSHIP</t>
        </is>
      </c>
      <c r="C554" s="415" t="inlineStr">
        <is>
          <t>2020</t>
        </is>
      </c>
      <c r="D554" s="416" t="inlineStr">
        <is>
          <t>Other</t>
        </is>
      </c>
      <c r="E554" s="416">
        <f>E295-E552-E553</f>
        <v/>
      </c>
      <c r="F554" s="416" t="n"/>
      <c r="G554" s="416" t="n"/>
      <c r="H554" s="417" t="n"/>
    </row>
    <row r="555" ht="15" customHeight="1" s="210">
      <c r="A555" s="386">
        <f>LEFT(B555, FIND("-", B555) - 1)</f>
        <v/>
      </c>
      <c r="B555" s="386" t="inlineStr">
        <is>
          <t>TRAN-TOTALRIDERSHIP</t>
        </is>
      </c>
      <c r="C555" s="415" t="inlineStr">
        <is>
          <t>2021</t>
        </is>
      </c>
      <c r="D555" s="416" t="inlineStr">
        <is>
          <t>Fixed route</t>
        </is>
      </c>
      <c r="E555" s="416" t="n">
        <v>241740</v>
      </c>
      <c r="F555" s="416" t="n"/>
      <c r="G555" s="416" t="n"/>
      <c r="H555" s="417" t="n"/>
    </row>
    <row r="556" ht="15" customHeight="1" s="210">
      <c r="A556" s="386">
        <f>LEFT(B556, FIND("-", B556) - 1)</f>
        <v/>
      </c>
      <c r="B556" s="386" t="inlineStr">
        <is>
          <t>TRAN-TOTALRIDERSHIP</t>
        </is>
      </c>
      <c r="C556" s="415" t="inlineStr">
        <is>
          <t>2021</t>
        </is>
      </c>
      <c r="D556" s="416" t="inlineStr">
        <is>
          <t>Paratransit</t>
        </is>
      </c>
      <c r="E556" s="416" t="n">
        <v>2249</v>
      </c>
      <c r="F556" s="416" t="n"/>
      <c r="G556" s="416" t="n"/>
      <c r="H556" s="417" t="n"/>
    </row>
    <row r="557" ht="15" customHeight="1" s="210">
      <c r="A557" s="386">
        <f>LEFT(B557, FIND("-", B557) - 1)</f>
        <v/>
      </c>
      <c r="B557" s="386" t="inlineStr">
        <is>
          <t>TRAN-TOTALRIDERSHIP</t>
        </is>
      </c>
      <c r="C557" s="415" t="inlineStr">
        <is>
          <t>2021</t>
        </is>
      </c>
      <c r="D557" s="416" t="inlineStr">
        <is>
          <t>Other</t>
        </is>
      </c>
      <c r="E557" s="416">
        <f>E296-E555-E556</f>
        <v/>
      </c>
      <c r="F557" s="416" t="n"/>
      <c r="G557" s="416" t="n"/>
      <c r="H557" s="417" t="n"/>
    </row>
    <row r="558" ht="15" customHeight="1" s="210">
      <c r="A558" s="386">
        <f>LEFT(B558, FIND("-", B558) - 1)</f>
        <v/>
      </c>
      <c r="B558" s="386" t="inlineStr">
        <is>
          <t>TRAN-TOTALRIDERSHIP</t>
        </is>
      </c>
      <c r="C558" s="415" t="inlineStr">
        <is>
          <t>2022</t>
        </is>
      </c>
      <c r="D558" s="416" t="inlineStr">
        <is>
          <t>Fixed route</t>
        </is>
      </c>
      <c r="E558" s="416" t="n">
        <v>322883</v>
      </c>
      <c r="F558" s="416" t="n"/>
      <c r="G558" s="416" t="n"/>
      <c r="H558" s="417" t="n"/>
    </row>
    <row r="559" ht="15" customHeight="1" s="210">
      <c r="A559" s="386">
        <f>LEFT(B559, FIND("-", B559) - 1)</f>
        <v/>
      </c>
      <c r="B559" s="386" t="inlineStr">
        <is>
          <t>TRAN-TOTALRIDERSHIP</t>
        </is>
      </c>
      <c r="C559" s="415" t="inlineStr">
        <is>
          <t>2022</t>
        </is>
      </c>
      <c r="D559" s="416" t="inlineStr">
        <is>
          <t>Paratransit</t>
        </is>
      </c>
      <c r="E559" s="416" t="n">
        <v>2369</v>
      </c>
      <c r="F559" s="416" t="n"/>
      <c r="G559" s="416" t="n"/>
      <c r="H559" s="417" t="n"/>
    </row>
    <row r="560" ht="15" customHeight="1" s="210">
      <c r="A560" s="386">
        <f>LEFT(B560, FIND("-", B560) - 1)</f>
        <v/>
      </c>
      <c r="B560" s="386" t="inlineStr">
        <is>
          <t>TRAN-TOTALRIDERSHIP</t>
        </is>
      </c>
      <c r="C560" s="415" t="inlineStr">
        <is>
          <t>2022</t>
        </is>
      </c>
      <c r="D560" s="416" t="inlineStr">
        <is>
          <t>Other</t>
        </is>
      </c>
      <c r="E560" s="416">
        <f>E297-E558-E559</f>
        <v/>
      </c>
      <c r="F560" s="416" t="n"/>
      <c r="G560" s="416" t="n"/>
      <c r="H560" s="417" t="n"/>
    </row>
    <row r="561" ht="15" customHeight="1" s="210">
      <c r="A561" s="386">
        <f>LEFT(B561, FIND("-", B561) - 1)</f>
        <v/>
      </c>
      <c r="B561" s="386" t="inlineStr">
        <is>
          <t>TRAN-TOTALRIDERSHIP</t>
        </is>
      </c>
      <c r="C561" s="415" t="inlineStr">
        <is>
          <t>2023</t>
        </is>
      </c>
      <c r="D561" s="416" t="inlineStr">
        <is>
          <t>Fixed route</t>
        </is>
      </c>
      <c r="E561" s="416" t="n">
        <v>421230</v>
      </c>
      <c r="F561" s="416" t="n"/>
      <c r="G561" s="416" t="n"/>
      <c r="H561" s="417" t="n"/>
    </row>
    <row r="562" ht="15" customHeight="1" s="210">
      <c r="A562" s="386">
        <f>LEFT(B562, FIND("-", B562) - 1)</f>
        <v/>
      </c>
      <c r="B562" s="386" t="inlineStr">
        <is>
          <t>TRAN-TOTALRIDERSHIP</t>
        </is>
      </c>
      <c r="C562" s="415" t="inlineStr">
        <is>
          <t>2023</t>
        </is>
      </c>
      <c r="D562" s="416" t="inlineStr">
        <is>
          <t>Paratransit</t>
        </is>
      </c>
      <c r="E562" s="416" t="n">
        <v>2479</v>
      </c>
      <c r="F562" s="416" t="n"/>
      <c r="G562" s="416" t="n"/>
      <c r="H562" s="417" t="n"/>
    </row>
    <row r="563" ht="15" customHeight="1" s="210">
      <c r="A563" s="386">
        <f>LEFT(B563, FIND("-", B563) - 1)</f>
        <v/>
      </c>
      <c r="B563" s="386" t="inlineStr">
        <is>
          <t>TRAN-TOTALRIDERSHIP</t>
        </is>
      </c>
      <c r="C563" s="415" t="inlineStr">
        <is>
          <t>2023</t>
        </is>
      </c>
      <c r="D563" s="416" t="inlineStr">
        <is>
          <t>Other</t>
        </is>
      </c>
      <c r="E563" s="416">
        <f>E298-E561-E562</f>
        <v/>
      </c>
      <c r="F563" s="416" t="n"/>
      <c r="G563" s="416" t="n"/>
      <c r="H563" s="417" t="n"/>
    </row>
    <row r="564" ht="15" customHeight="1" s="210">
      <c r="A564" s="386">
        <f>LEFT(B564, FIND("-", B564) - 1)</f>
        <v/>
      </c>
      <c r="B564" s="386" t="inlineStr">
        <is>
          <t>TRAN-TOTALRIDERSHIP</t>
        </is>
      </c>
      <c r="C564" s="415" t="inlineStr">
        <is>
          <t>2024</t>
        </is>
      </c>
      <c r="D564" s="416" t="inlineStr">
        <is>
          <t>Fixed route</t>
        </is>
      </c>
      <c r="E564" s="416" t="n">
        <v>437758</v>
      </c>
      <c r="F564" s="416" t="n"/>
      <c r="G564" s="416" t="n"/>
      <c r="H564" s="417" t="n"/>
    </row>
    <row r="565" ht="15" customHeight="1" s="210">
      <c r="A565" s="386">
        <f>LEFT(B565, FIND("-", B565) - 1)</f>
        <v/>
      </c>
      <c r="B565" s="386" t="inlineStr">
        <is>
          <t>TRAN-TOTALRIDERSHIP</t>
        </is>
      </c>
      <c r="C565" s="415" t="inlineStr">
        <is>
          <t>2024</t>
        </is>
      </c>
      <c r="D565" s="416" t="inlineStr">
        <is>
          <t>Paratransit</t>
        </is>
      </c>
      <c r="E565" s="416" t="n">
        <v>3142</v>
      </c>
      <c r="F565" s="416" t="n"/>
      <c r="G565" s="416" t="n"/>
      <c r="H565" s="417" t="n"/>
    </row>
    <row r="566" ht="15" customHeight="1" s="210">
      <c r="A566" s="386">
        <f>LEFT(B566, FIND("-", B566) - 1)</f>
        <v/>
      </c>
      <c r="B566" s="386" t="inlineStr">
        <is>
          <t>TRAN-TOTALRIDERSHIP</t>
        </is>
      </c>
      <c r="C566" s="415" t="inlineStr">
        <is>
          <t>2024</t>
        </is>
      </c>
      <c r="D566" s="416" t="inlineStr">
        <is>
          <t>Other</t>
        </is>
      </c>
      <c r="E566" s="416">
        <f>E299-E564-E565</f>
        <v/>
      </c>
      <c r="F566" s="416" t="n"/>
      <c r="G566" s="416" t="n"/>
      <c r="H566" s="417" t="n"/>
    </row>
    <row r="567" ht="15" customHeight="1" s="210">
      <c r="A567" s="386">
        <f>LEFT(B567, FIND("-", B567) - 1)</f>
        <v/>
      </c>
      <c r="B567" s="386" t="inlineStr">
        <is>
          <t>TRAN-TOTALRIDERSHIP</t>
        </is>
      </c>
      <c r="C567" s="415" t="inlineStr">
        <is>
          <t>2025</t>
        </is>
      </c>
      <c r="D567" s="416" t="inlineStr">
        <is>
          <t>Fixed route</t>
        </is>
      </c>
      <c r="E567" s="416" t="n">
        <v>443275</v>
      </c>
      <c r="F567" s="416" t="n"/>
      <c r="G567" s="416" t="n"/>
      <c r="H567" s="417" t="n"/>
    </row>
    <row r="568" ht="15" customHeight="1" s="210">
      <c r="A568" s="386">
        <f>LEFT(B568, FIND("-", B568) - 1)</f>
        <v/>
      </c>
      <c r="B568" s="386" t="inlineStr">
        <is>
          <t>TRAN-TOTALRIDERSHIP</t>
        </is>
      </c>
      <c r="C568" s="415" t="inlineStr">
        <is>
          <t>2025</t>
        </is>
      </c>
      <c r="D568" s="416" t="inlineStr">
        <is>
          <t>Paratransit</t>
        </is>
      </c>
      <c r="E568" s="416" t="n">
        <v>3455</v>
      </c>
      <c r="F568" s="416" t="n"/>
      <c r="G568" s="416" t="n"/>
      <c r="H568" s="417" t="n"/>
    </row>
    <row r="569" ht="15" customHeight="1" s="210">
      <c r="A569" s="386">
        <f>LEFT(B569, FIND("-", B569) - 1)</f>
        <v/>
      </c>
      <c r="B569" s="386" t="inlineStr">
        <is>
          <t>TRAN-TOTALRIDERSHIP</t>
        </is>
      </c>
      <c r="C569" s="415" t="inlineStr">
        <is>
          <t>2025</t>
        </is>
      </c>
      <c r="D569" s="416" t="inlineStr">
        <is>
          <t>Other</t>
        </is>
      </c>
      <c r="E569" s="416">
        <f>E300-E567-E568</f>
        <v/>
      </c>
      <c r="F569" s="416" t="n"/>
      <c r="G569" s="416" t="n"/>
      <c r="H569" s="417" t="n"/>
    </row>
    <row r="570" ht="15" customHeight="1" s="210">
      <c r="A570" s="386">
        <f>LEFT(B570, FIND("-", B570) - 1)</f>
        <v/>
      </c>
      <c r="B570" s="386" t="inlineStr">
        <is>
          <t>TRAN-VACRATE</t>
        </is>
      </c>
      <c r="C570" s="415" t="inlineStr">
        <is>
          <t>2019</t>
        </is>
      </c>
      <c r="D570" s="416" t="n"/>
      <c r="E570" s="416" t="n">
        <v>52</v>
      </c>
      <c r="F570" s="416" t="n">
        <v>85</v>
      </c>
      <c r="G570" s="416" t="n"/>
      <c r="H570" s="417" t="n"/>
    </row>
    <row r="571" ht="15" customHeight="1" s="210">
      <c r="A571" s="386">
        <f>LEFT(B571, FIND("-", B571) - 1)</f>
        <v/>
      </c>
      <c r="B571" s="386" t="inlineStr">
        <is>
          <t>TRAN-VACRATE</t>
        </is>
      </c>
      <c r="C571" s="415" t="inlineStr">
        <is>
          <t>2020</t>
        </is>
      </c>
      <c r="D571" s="416" t="n"/>
      <c r="E571" s="416" t="n">
        <v>32.3</v>
      </c>
      <c r="F571" s="416" t="n">
        <v>85</v>
      </c>
      <c r="G571" s="416" t="n"/>
      <c r="H571" s="417" t="n"/>
    </row>
    <row r="572" ht="15" customHeight="1" s="210">
      <c r="A572" s="386">
        <f>LEFT(B572, FIND("-", B572) - 1)</f>
        <v/>
      </c>
      <c r="B572" s="386" t="inlineStr">
        <is>
          <t>TRAN-VACRATE</t>
        </is>
      </c>
      <c r="C572" s="415" t="inlineStr">
        <is>
          <t>2021</t>
        </is>
      </c>
      <c r="D572" s="416" t="n"/>
      <c r="E572" s="416" t="n">
        <v>33.9</v>
      </c>
      <c r="F572" s="416" t="n">
        <v>85</v>
      </c>
      <c r="G572" s="416" t="n"/>
      <c r="H572" s="417" t="n"/>
    </row>
    <row r="573" ht="15" customHeight="1" s="210">
      <c r="A573" s="386">
        <f>LEFT(B573, FIND("-", B573) - 1)</f>
        <v/>
      </c>
      <c r="B573" s="386" t="inlineStr">
        <is>
          <t>TRAN-VACRATE</t>
        </is>
      </c>
      <c r="C573" s="415" t="inlineStr">
        <is>
          <t>2022</t>
        </is>
      </c>
      <c r="D573" s="416" t="n"/>
      <c r="E573" s="416" t="n">
        <v>36.7</v>
      </c>
      <c r="F573" s="416" t="n">
        <v>85</v>
      </c>
      <c r="G573" s="416" t="n"/>
      <c r="H573" s="417" t="n"/>
    </row>
    <row r="574" ht="15" customHeight="1" s="210">
      <c r="A574" s="386">
        <f>LEFT(B574, FIND("-", B574) - 1)</f>
        <v/>
      </c>
      <c r="B574" s="386" t="inlineStr">
        <is>
          <t>TRAN-VACRATE</t>
        </is>
      </c>
      <c r="C574" s="415" t="inlineStr">
        <is>
          <t>2023</t>
        </is>
      </c>
      <c r="D574" s="416" t="n"/>
      <c r="E574" s="416" t="n">
        <v>34.7</v>
      </c>
      <c r="F574" s="416" t="n">
        <v>85</v>
      </c>
      <c r="G574" s="416" t="n"/>
      <c r="H574" s="417" t="n"/>
    </row>
    <row r="575" ht="15" customHeight="1" s="210">
      <c r="A575" s="386">
        <f>LEFT(B575, FIND("-", B575) - 1)</f>
        <v/>
      </c>
      <c r="B575" s="386" t="inlineStr">
        <is>
          <t>TRAN-VACRATE</t>
        </is>
      </c>
      <c r="C575" s="415" t="inlineStr">
        <is>
          <t>2024</t>
        </is>
      </c>
      <c r="D575" s="416" t="n"/>
      <c r="E575" s="416" t="n">
        <v>37.5</v>
      </c>
      <c r="F575" s="416" t="n">
        <v>85</v>
      </c>
      <c r="G575" s="416" t="n"/>
      <c r="H575" s="417" t="n"/>
    </row>
    <row r="576" ht="15" customHeight="1" s="210">
      <c r="A576" s="386">
        <f>LEFT(B576, FIND("-", B576) - 1)</f>
        <v/>
      </c>
      <c r="B576" s="386" t="inlineStr">
        <is>
          <t>TRAN-VACRATE</t>
        </is>
      </c>
      <c r="C576" s="415" t="inlineStr">
        <is>
          <t>2025</t>
        </is>
      </c>
      <c r="D576" s="416" t="n"/>
      <c r="E576" s="416" t="n">
        <v>36</v>
      </c>
      <c r="F576" s="416" t="n">
        <v>85</v>
      </c>
      <c r="G576" s="416" t="n"/>
      <c r="H576" s="417" t="n"/>
    </row>
    <row r="577" ht="15" customHeight="1" s="210">
      <c r="A577" s="386">
        <f>LEFT(B577, FIND("-", B577) - 1)</f>
        <v/>
      </c>
      <c r="B577" s="386" t="inlineStr">
        <is>
          <t>TRAN-COMPSCORE</t>
        </is>
      </c>
      <c r="C577" s="415" t="inlineStr">
        <is>
          <t>2021</t>
        </is>
      </c>
      <c r="D577" s="416" t="n"/>
      <c r="E577" s="416" t="n">
        <v>95.40000000000001</v>
      </c>
      <c r="F577" s="416" t="n">
        <v>95</v>
      </c>
      <c r="G577" s="416" t="n"/>
      <c r="H577" s="417" t="n"/>
    </row>
    <row r="578" ht="15" customHeight="1" s="210">
      <c r="A578" s="386">
        <f>LEFT(B578, FIND("-", B578) - 1)</f>
        <v/>
      </c>
      <c r="B578" s="386" t="inlineStr">
        <is>
          <t>TRAN-COMPSCORE</t>
        </is>
      </c>
      <c r="C578" s="415" t="inlineStr">
        <is>
          <t>2022</t>
        </is>
      </c>
      <c r="D578" s="416" t="n"/>
      <c r="E578" s="416" t="n">
        <v>95.8</v>
      </c>
      <c r="F578" s="416" t="n">
        <v>95</v>
      </c>
      <c r="G578" s="416" t="n"/>
      <c r="H578" s="417" t="n"/>
    </row>
    <row r="579" ht="15" customHeight="1" s="210">
      <c r="A579" s="386">
        <f>LEFT(B579, FIND("-", B579) - 1)</f>
        <v/>
      </c>
      <c r="B579" s="386" t="inlineStr">
        <is>
          <t>TRAN-COMPSCORE</t>
        </is>
      </c>
      <c r="C579" s="415" t="inlineStr">
        <is>
          <t>2023</t>
        </is>
      </c>
      <c r="D579" s="416" t="n"/>
      <c r="E579" s="416" t="n">
        <v>95.7</v>
      </c>
      <c r="F579" s="416" t="n">
        <v>95</v>
      </c>
      <c r="G579" s="416" t="n"/>
      <c r="H579" s="417" t="n"/>
    </row>
    <row r="580" ht="15" customHeight="1" s="210">
      <c r="A580" s="386">
        <f>LEFT(B580, FIND("-", B580) - 1)</f>
        <v/>
      </c>
      <c r="B580" s="386" t="inlineStr">
        <is>
          <t>TRAN-COMPSCORE</t>
        </is>
      </c>
      <c r="C580" s="415" t="inlineStr">
        <is>
          <t>2024</t>
        </is>
      </c>
      <c r="D580" s="416" t="n"/>
      <c r="E580" s="416" t="n">
        <v>95.2</v>
      </c>
      <c r="F580" s="416" t="n">
        <v>95</v>
      </c>
      <c r="G580" s="416" t="n"/>
      <c r="H580" s="417" t="n"/>
    </row>
    <row r="581" ht="15" customHeight="1" s="210">
      <c r="A581" s="386">
        <f>LEFT(B581, FIND("-", B581) - 1)</f>
        <v/>
      </c>
      <c r="B581" s="386" t="inlineStr">
        <is>
          <t>TRAN-COMPSCORE</t>
        </is>
      </c>
      <c r="C581" s="415" t="inlineStr">
        <is>
          <t>2025</t>
        </is>
      </c>
      <c r="D581" s="416" t="n"/>
      <c r="E581" s="416" t="n">
        <v>95.2</v>
      </c>
      <c r="F581" s="416" t="n">
        <v>95</v>
      </c>
      <c r="G581" s="416" t="n"/>
      <c r="H581" s="417" t="n"/>
    </row>
    <row r="582" ht="15" customHeight="1" s="210">
      <c r="A582" s="386">
        <f>LEFT(B582, FIND("-", B582) - 1)</f>
        <v/>
      </c>
      <c r="B582" s="386" t="inlineStr">
        <is>
          <t>TRAN-COMPSCORE</t>
        </is>
      </c>
      <c r="C582" s="415" t="inlineStr">
        <is>
          <t>2026</t>
        </is>
      </c>
      <c r="D582" s="416" t="n"/>
      <c r="E582" s="416" t="n">
        <v>95.8</v>
      </c>
      <c r="F582" s="416" t="n">
        <v>95</v>
      </c>
      <c r="G582" s="416" t="n"/>
      <c r="H582" s="417" t="inlineStr">
        <is>
          <t>2026 covers January–September only (year to date).</t>
        </is>
      </c>
    </row>
    <row r="583" ht="15" customHeight="1" s="210">
      <c r="A583" s="386">
        <f>LEFT(B583, FIND("-", B583) - 1)</f>
        <v/>
      </c>
      <c r="B583" s="386" t="inlineStr">
        <is>
          <t>TRAN-WINDSHIELDRATE</t>
        </is>
      </c>
      <c r="C583" s="415" t="inlineStr">
        <is>
          <t>2021</t>
        </is>
      </c>
      <c r="D583" s="416" t="n"/>
      <c r="E583" s="416" t="n">
        <v>77.90000000000001</v>
      </c>
      <c r="F583" s="416" t="n"/>
      <c r="G583" s="416" t="n"/>
      <c r="H583" s="417" t="n"/>
    </row>
    <row r="584" ht="15" customHeight="1" s="210">
      <c r="A584" s="386">
        <f>LEFT(B584, FIND("-", B584) - 1)</f>
        <v/>
      </c>
      <c r="B584" s="386" t="inlineStr">
        <is>
          <t>TRAN-WINDSHIELDRATE</t>
        </is>
      </c>
      <c r="C584" s="415" t="inlineStr">
        <is>
          <t>2022</t>
        </is>
      </c>
      <c r="D584" s="416" t="n"/>
      <c r="E584" s="416" t="n">
        <v>82.90000000000001</v>
      </c>
      <c r="F584" s="416">
        <f>E583</f>
        <v/>
      </c>
      <c r="G584" s="416" t="n"/>
      <c r="H584" s="417" t="n"/>
    </row>
    <row r="585" ht="15" customHeight="1" s="210">
      <c r="A585" s="386">
        <f>LEFT(B585, FIND("-", B585) - 1)</f>
        <v/>
      </c>
      <c r="B585" s="386" t="inlineStr">
        <is>
          <t>TRAN-WINDSHIELDRATE</t>
        </is>
      </c>
      <c r="C585" s="415" t="inlineStr">
        <is>
          <t>2023</t>
        </is>
      </c>
      <c r="D585" s="416" t="n"/>
      <c r="E585" s="416" t="n">
        <v>83.2</v>
      </c>
      <c r="F585" s="416">
        <f>E584</f>
        <v/>
      </c>
      <c r="G585" s="416" t="n"/>
      <c r="H585" s="417" t="n"/>
    </row>
    <row r="586" ht="15" customHeight="1" s="210">
      <c r="A586" s="386">
        <f>LEFT(B586, FIND("-", B586) - 1)</f>
        <v/>
      </c>
      <c r="B586" s="386" t="inlineStr">
        <is>
          <t>TRAN-WINDSHIELDRATE</t>
        </is>
      </c>
      <c r="C586" s="415" t="inlineStr">
        <is>
          <t>2024</t>
        </is>
      </c>
      <c r="D586" s="416" t="n"/>
      <c r="E586" s="416" t="n">
        <v>85.5</v>
      </c>
      <c r="F586" s="416">
        <f>E585</f>
        <v/>
      </c>
      <c r="G586" s="416" t="n"/>
      <c r="H586" s="417" t="n"/>
    </row>
    <row r="587" ht="15" customHeight="1" s="210">
      <c r="A587" s="386">
        <f>LEFT(B587, FIND("-", B587) - 1)</f>
        <v/>
      </c>
      <c r="B587" s="386" t="inlineStr">
        <is>
          <t>TRAN-WINDSHIELDRATE</t>
        </is>
      </c>
      <c r="C587" s="415" t="inlineStr">
        <is>
          <t>2025</t>
        </is>
      </c>
      <c r="D587" s="416" t="n"/>
      <c r="E587" s="416" t="n">
        <v>80.40000000000001</v>
      </c>
      <c r="F587" s="416">
        <f>E586</f>
        <v/>
      </c>
      <c r="G587" s="416" t="n"/>
      <c r="H587" s="417" t="n"/>
    </row>
    <row r="588" ht="15" customHeight="1" s="210">
      <c r="A588" s="386">
        <f>LEFT(B588, FIND("-", B588) - 1)</f>
        <v/>
      </c>
      <c r="B588" s="386" t="inlineStr">
        <is>
          <t>TRAN-WINDSHIELDRATE</t>
        </is>
      </c>
      <c r="C588" s="415" t="inlineStr">
        <is>
          <t>2026</t>
        </is>
      </c>
      <c r="D588" s="416" t="n"/>
      <c r="E588" s="416" t="n">
        <v>82.40000000000001</v>
      </c>
      <c r="F588" s="416">
        <f>E587</f>
        <v/>
      </c>
      <c r="G588" s="416" t="n"/>
      <c r="H588" s="417" t="inlineStr">
        <is>
          <t>2026 covers January–September only (year to date).</t>
        </is>
      </c>
    </row>
    <row r="589" ht="15" customHeight="1" s="210">
      <c r="A589" s="386">
        <f>LEFT(B589, FIND("-", B589) - 1)</f>
        <v/>
      </c>
      <c r="B589" s="386" t="inlineStr">
        <is>
          <t>TRAN-CITATIONCLOSE</t>
        </is>
      </c>
      <c r="C589" s="415" t="inlineStr">
        <is>
          <t>2018</t>
        </is>
      </c>
      <c r="D589" s="416" t="inlineStr">
        <is>
          <t>Warnings</t>
        </is>
      </c>
      <c r="E589" s="416" t="n">
        <v>1420</v>
      </c>
      <c r="F589" s="416" t="n"/>
      <c r="G589" s="416" t="n"/>
      <c r="H589" s="417" t="n"/>
    </row>
    <row r="590" ht="15" customHeight="1" s="210">
      <c r="A590" s="386">
        <f>LEFT(B590, FIND("-", B590) - 1)</f>
        <v/>
      </c>
      <c r="B590" s="386" t="inlineStr">
        <is>
          <t>TRAN-CITATIONCLOSE</t>
        </is>
      </c>
      <c r="C590" s="415" t="inlineStr">
        <is>
          <t>2018</t>
        </is>
      </c>
      <c r="D590" s="416" t="inlineStr">
        <is>
          <t>City Admin Void</t>
        </is>
      </c>
      <c r="E590" s="416" t="n">
        <v>123</v>
      </c>
      <c r="F590" s="416" t="n"/>
      <c r="G590" s="416" t="n"/>
      <c r="H590" s="417" t="n"/>
    </row>
    <row r="591" ht="15" customHeight="1" s="210">
      <c r="A591" s="386">
        <f>LEFT(B591, FIND("-", B591) - 1)</f>
        <v/>
      </c>
      <c r="B591" s="386" t="inlineStr">
        <is>
          <t>TRAN-CITATIONCLOSE</t>
        </is>
      </c>
      <c r="C591" s="415" t="inlineStr">
        <is>
          <t>2018</t>
        </is>
      </c>
      <c r="D591" s="416" t="inlineStr">
        <is>
          <t>Court Summons</t>
        </is>
      </c>
      <c r="E591" s="416" t="n">
        <v>326</v>
      </c>
      <c r="F591" s="416" t="n"/>
      <c r="G591" s="416" t="n"/>
      <c r="H591" s="417" t="n"/>
    </row>
    <row r="592" ht="15" customHeight="1" s="210">
      <c r="A592" s="386">
        <f>LEFT(B592, FIND("-", B592) - 1)</f>
        <v/>
      </c>
      <c r="B592" s="386" t="inlineStr">
        <is>
          <t>TRAN-CITATIONCLOSE</t>
        </is>
      </c>
      <c r="C592" s="415" t="inlineStr">
        <is>
          <t>2018</t>
        </is>
      </c>
      <c r="D592" s="416" t="inlineStr">
        <is>
          <t>Equipment Malfunction</t>
        </is>
      </c>
      <c r="E592" s="416" t="n">
        <v>37</v>
      </c>
      <c r="F592" s="416" t="n"/>
      <c r="G592" s="416" t="n"/>
      <c r="H592" s="417" t="n"/>
    </row>
    <row r="593" ht="15" customHeight="1" s="210">
      <c r="A593" s="386">
        <f>LEFT(B593, FIND("-", B593) - 1)</f>
        <v/>
      </c>
      <c r="B593" s="386" t="inlineStr">
        <is>
          <t>TRAN-CITATIONCLOSE</t>
        </is>
      </c>
      <c r="C593" s="415" t="inlineStr">
        <is>
          <t>2018</t>
        </is>
      </c>
      <c r="D593" s="416" t="inlineStr">
        <is>
          <t>Handicap Permit</t>
        </is>
      </c>
      <c r="E593" s="416" t="n">
        <v>147</v>
      </c>
      <c r="F593" s="416" t="n"/>
      <c r="G593" s="416" t="n"/>
      <c r="H593" s="417" t="n"/>
    </row>
    <row r="594" ht="15" customHeight="1" s="210">
      <c r="A594" s="386">
        <f>LEFT(B594, FIND("-", B594) - 1)</f>
        <v/>
      </c>
      <c r="B594" s="386" t="inlineStr">
        <is>
          <t>TRAN-CITATIONCLOSE</t>
        </is>
      </c>
      <c r="C594" s="415" t="inlineStr">
        <is>
          <t>2018</t>
        </is>
      </c>
      <c r="D594" s="416" t="inlineStr">
        <is>
          <t>La Plata County Sheriff</t>
        </is>
      </c>
      <c r="E594" s="416" t="n">
        <v>24</v>
      </c>
      <c r="F594" s="416" t="n"/>
      <c r="G594" s="416" t="n"/>
      <c r="H594" s="417" t="n"/>
    </row>
    <row r="595" ht="15" customHeight="1" s="210">
      <c r="A595" s="386">
        <f>LEFT(B595, FIND("-", B595) - 1)</f>
        <v/>
      </c>
      <c r="B595" s="386" t="inlineStr">
        <is>
          <t>TRAN-CITATIONCLOSE</t>
        </is>
      </c>
      <c r="C595" s="415" t="inlineStr">
        <is>
          <t>2018</t>
        </is>
      </c>
      <c r="D595" s="416" t="inlineStr">
        <is>
          <t>Meter Malfunction</t>
        </is>
      </c>
      <c r="E595" s="416" t="n">
        <v>53</v>
      </c>
      <c r="F595" s="416" t="n"/>
      <c r="G595" s="416" t="n"/>
      <c r="H595" s="417" t="n"/>
    </row>
    <row r="596" ht="15" customHeight="1" s="210">
      <c r="A596" s="386">
        <f>LEFT(B596, FIND("-", B596) - 1)</f>
        <v/>
      </c>
      <c r="B596" s="386" t="inlineStr">
        <is>
          <t>TRAN-CITATIONCLOSE</t>
        </is>
      </c>
      <c r="C596" s="415" t="inlineStr">
        <is>
          <t>2018</t>
        </is>
      </c>
      <c r="D596" s="416" t="inlineStr">
        <is>
          <t>Officer/Operator Error</t>
        </is>
      </c>
      <c r="E596" s="416" t="n">
        <v>232</v>
      </c>
      <c r="F596" s="416" t="n"/>
      <c r="G596" s="416" t="n"/>
      <c r="H596" s="417" t="n"/>
    </row>
    <row r="597" ht="15" customHeight="1" s="210">
      <c r="A597" s="386">
        <f>LEFT(B597, FIND("-", B597) - 1)</f>
        <v/>
      </c>
      <c r="B597" s="386" t="inlineStr">
        <is>
          <t>TRAN-CITATIONCLOSE</t>
        </is>
      </c>
      <c r="C597" s="415" t="inlineStr">
        <is>
          <t>2018</t>
        </is>
      </c>
      <c r="D597" s="416" t="inlineStr">
        <is>
          <t>Registration</t>
        </is>
      </c>
      <c r="E597" s="416" t="n">
        <v>402</v>
      </c>
      <c r="F597" s="416" t="n"/>
      <c r="G597" s="416" t="n"/>
      <c r="H597" s="417" t="n"/>
    </row>
    <row r="598" ht="15" customHeight="1" s="210">
      <c r="A598" s="386">
        <f>LEFT(B598, FIND("-", B598) - 1)</f>
        <v/>
      </c>
      <c r="B598" s="386" t="inlineStr">
        <is>
          <t>TRAN-CITATIONCLOSE</t>
        </is>
      </c>
      <c r="C598" s="415" t="inlineStr">
        <is>
          <t>2018</t>
        </is>
      </c>
      <c r="D598" s="416" t="inlineStr">
        <is>
          <t>Review Outcome Dismissed</t>
        </is>
      </c>
      <c r="E598" s="416" t="n">
        <v>34</v>
      </c>
      <c r="F598" s="416" t="n"/>
      <c r="G598" s="416" t="n"/>
      <c r="H598" s="417" t="n"/>
    </row>
    <row r="599" ht="15" customHeight="1" s="210">
      <c r="A599" s="386">
        <f>LEFT(B599, FIND("-", B599) - 1)</f>
        <v/>
      </c>
      <c r="B599" s="386" t="inlineStr">
        <is>
          <t>TRAN-CITATIONCLOSE</t>
        </is>
      </c>
      <c r="C599" s="415" t="inlineStr">
        <is>
          <t>2018</t>
        </is>
      </c>
      <c r="D599" s="416" t="inlineStr">
        <is>
          <t>Unable to Locate Owner</t>
        </is>
      </c>
      <c r="E599" s="416" t="n">
        <v>62</v>
      </c>
      <c r="F599" s="416" t="n"/>
      <c r="G599" s="416" t="n"/>
      <c r="H599" s="417" t="n"/>
    </row>
    <row r="600" ht="15" customHeight="1" s="210">
      <c r="A600" s="386">
        <f>LEFT(B600, FIND("-", B600) - 1)</f>
        <v/>
      </c>
      <c r="B600" s="386" t="inlineStr">
        <is>
          <t>TRAN-CITATIONCLOSE</t>
        </is>
      </c>
      <c r="C600" s="415" t="inlineStr">
        <is>
          <t>2019</t>
        </is>
      </c>
      <c r="D600" s="416" t="inlineStr">
        <is>
          <t>Warnings</t>
        </is>
      </c>
      <c r="E600" s="416" t="n">
        <v>1300</v>
      </c>
      <c r="F600" s="416" t="n"/>
      <c r="G600" s="416" t="n"/>
      <c r="H600" s="417" t="n"/>
    </row>
    <row r="601" ht="15" customHeight="1" s="210">
      <c r="A601" s="386">
        <f>LEFT(B601, FIND("-", B601) - 1)</f>
        <v/>
      </c>
      <c r="B601" s="386" t="inlineStr">
        <is>
          <t>TRAN-CITATIONCLOSE</t>
        </is>
      </c>
      <c r="C601" s="415" t="inlineStr">
        <is>
          <t>2019</t>
        </is>
      </c>
      <c r="D601" s="416" t="inlineStr">
        <is>
          <t>City Admin Void</t>
        </is>
      </c>
      <c r="E601" s="416" t="n">
        <v>101</v>
      </c>
      <c r="F601" s="416" t="n"/>
      <c r="G601" s="416" t="n"/>
      <c r="H601" s="417" t="n"/>
    </row>
    <row r="602" ht="15" customHeight="1" s="210">
      <c r="A602" s="386">
        <f>LEFT(B602, FIND("-", B602) - 1)</f>
        <v/>
      </c>
      <c r="B602" s="386" t="inlineStr">
        <is>
          <t>TRAN-CITATIONCLOSE</t>
        </is>
      </c>
      <c r="C602" s="415" t="inlineStr">
        <is>
          <t>2019</t>
        </is>
      </c>
      <c r="D602" s="416" t="inlineStr">
        <is>
          <t>Court Summons</t>
        </is>
      </c>
      <c r="E602" s="416" t="n">
        <v>376</v>
      </c>
      <c r="F602" s="416" t="n"/>
      <c r="G602" s="416" t="n"/>
      <c r="H602" s="417" t="n"/>
    </row>
    <row r="603" ht="15" customHeight="1" s="210">
      <c r="A603" s="386">
        <f>LEFT(B603, FIND("-", B603) - 1)</f>
        <v/>
      </c>
      <c r="B603" s="386" t="inlineStr">
        <is>
          <t>TRAN-CITATIONCLOSE</t>
        </is>
      </c>
      <c r="C603" s="415" t="inlineStr">
        <is>
          <t>2019</t>
        </is>
      </c>
      <c r="D603" s="416" t="inlineStr">
        <is>
          <t>Equipment Malfunction</t>
        </is>
      </c>
      <c r="E603" s="416" t="n">
        <v>51</v>
      </c>
      <c r="F603" s="416" t="n"/>
      <c r="G603" s="416" t="n"/>
      <c r="H603" s="417" t="n"/>
    </row>
    <row r="604" ht="15" customHeight="1" s="210">
      <c r="A604" s="386">
        <f>LEFT(B604, FIND("-", B604) - 1)</f>
        <v/>
      </c>
      <c r="B604" s="386" t="inlineStr">
        <is>
          <t>TRAN-CITATIONCLOSE</t>
        </is>
      </c>
      <c r="C604" s="415" t="inlineStr">
        <is>
          <t>2019</t>
        </is>
      </c>
      <c r="D604" s="416" t="inlineStr">
        <is>
          <t>Handicap Permit</t>
        </is>
      </c>
      <c r="E604" s="416" t="n">
        <v>145</v>
      </c>
      <c r="F604" s="416" t="n"/>
      <c r="G604" s="416" t="n"/>
      <c r="H604" s="417" t="n"/>
    </row>
    <row r="605" ht="15" customHeight="1" s="210">
      <c r="A605" s="386">
        <f>LEFT(B605, FIND("-", B605) - 1)</f>
        <v/>
      </c>
      <c r="B605" s="386" t="inlineStr">
        <is>
          <t>TRAN-CITATIONCLOSE</t>
        </is>
      </c>
      <c r="C605" s="415" t="inlineStr">
        <is>
          <t>2019</t>
        </is>
      </c>
      <c r="D605" s="416" t="inlineStr">
        <is>
          <t>La Plata County Sheriff</t>
        </is>
      </c>
      <c r="E605" s="416" t="n">
        <v>13</v>
      </c>
      <c r="F605" s="416" t="n"/>
      <c r="G605" s="416" t="n"/>
      <c r="H605" s="417" t="n"/>
    </row>
    <row r="606" ht="15" customHeight="1" s="210">
      <c r="A606" s="386">
        <f>LEFT(B606, FIND("-", B606) - 1)</f>
        <v/>
      </c>
      <c r="B606" s="386" t="inlineStr">
        <is>
          <t>TRAN-CITATIONCLOSE</t>
        </is>
      </c>
      <c r="C606" s="415" t="inlineStr">
        <is>
          <t>2019</t>
        </is>
      </c>
      <c r="D606" s="416" t="inlineStr">
        <is>
          <t>Meter Malfunction</t>
        </is>
      </c>
      <c r="E606" s="416" t="n">
        <v>80</v>
      </c>
      <c r="F606" s="416" t="n"/>
      <c r="G606" s="416" t="n"/>
      <c r="H606" s="417" t="n"/>
    </row>
    <row r="607" ht="15" customHeight="1" s="210">
      <c r="A607" s="386">
        <f>LEFT(B607, FIND("-", B607) - 1)</f>
        <v/>
      </c>
      <c r="B607" s="386" t="inlineStr">
        <is>
          <t>TRAN-CITATIONCLOSE</t>
        </is>
      </c>
      <c r="C607" s="415" t="inlineStr">
        <is>
          <t>2019</t>
        </is>
      </c>
      <c r="D607" s="416" t="inlineStr">
        <is>
          <t>Officer/Operator Error</t>
        </is>
      </c>
      <c r="E607" s="416" t="n">
        <v>157</v>
      </c>
      <c r="F607" s="416" t="n"/>
      <c r="G607" s="416" t="n"/>
      <c r="H607" s="417" t="n"/>
    </row>
    <row r="608" ht="15" customHeight="1" s="210">
      <c r="A608" s="386">
        <f>LEFT(B608, FIND("-", B608) - 1)</f>
        <v/>
      </c>
      <c r="B608" s="386" t="inlineStr">
        <is>
          <t>TRAN-CITATIONCLOSE</t>
        </is>
      </c>
      <c r="C608" s="415" t="inlineStr">
        <is>
          <t>2019</t>
        </is>
      </c>
      <c r="D608" s="416" t="inlineStr">
        <is>
          <t>Registration</t>
        </is>
      </c>
      <c r="E608" s="416" t="n">
        <v>469</v>
      </c>
      <c r="F608" s="416" t="n"/>
      <c r="G608" s="416" t="n"/>
      <c r="H608" s="417" t="n"/>
    </row>
    <row r="609" ht="15" customHeight="1" s="210">
      <c r="A609" s="386">
        <f>LEFT(B609, FIND("-", B609) - 1)</f>
        <v/>
      </c>
      <c r="B609" s="386" t="inlineStr">
        <is>
          <t>TRAN-CITATIONCLOSE</t>
        </is>
      </c>
      <c r="C609" s="415" t="inlineStr">
        <is>
          <t>2019</t>
        </is>
      </c>
      <c r="D609" s="416" t="inlineStr">
        <is>
          <t>Review Outcome Dismissed</t>
        </is>
      </c>
      <c r="E609" s="416" t="n">
        <v>68</v>
      </c>
      <c r="F609" s="416" t="n"/>
      <c r="G609" s="416" t="n"/>
      <c r="H609" s="417" t="n"/>
    </row>
    <row r="610" ht="15" customHeight="1" s="210">
      <c r="A610" s="386">
        <f>LEFT(B610, FIND("-", B610) - 1)</f>
        <v/>
      </c>
      <c r="B610" s="386" t="inlineStr">
        <is>
          <t>TRAN-CITATIONCLOSE</t>
        </is>
      </c>
      <c r="C610" s="415" t="inlineStr">
        <is>
          <t>2019</t>
        </is>
      </c>
      <c r="D610" s="416" t="inlineStr">
        <is>
          <t>Unable to Locate Owner</t>
        </is>
      </c>
      <c r="E610" s="416" t="n">
        <v>64</v>
      </c>
      <c r="F610" s="416" t="n"/>
      <c r="G610" s="416" t="n"/>
      <c r="H610" s="417" t="n"/>
    </row>
    <row r="611" ht="15" customHeight="1" s="210">
      <c r="A611" s="386">
        <f>LEFT(B611, FIND("-", B611) - 1)</f>
        <v/>
      </c>
      <c r="B611" s="386" t="inlineStr">
        <is>
          <t>TRAN-CITATIONCLOSE</t>
        </is>
      </c>
      <c r="C611" s="415" t="inlineStr">
        <is>
          <t>2020</t>
        </is>
      </c>
      <c r="D611" s="416" t="inlineStr">
        <is>
          <t>Warnings</t>
        </is>
      </c>
      <c r="E611" s="416" t="n">
        <v>1012</v>
      </c>
      <c r="F611" s="416" t="n"/>
      <c r="G611" s="416" t="n"/>
      <c r="H611" s="417" t="n"/>
    </row>
    <row r="612" ht="15" customHeight="1" s="210">
      <c r="A612" s="386">
        <f>LEFT(B612, FIND("-", B612) - 1)</f>
        <v/>
      </c>
      <c r="B612" s="386" t="inlineStr">
        <is>
          <t>TRAN-CITATIONCLOSE</t>
        </is>
      </c>
      <c r="C612" s="415" t="inlineStr">
        <is>
          <t>2020</t>
        </is>
      </c>
      <c r="D612" s="416" t="inlineStr">
        <is>
          <t>City Admin Void</t>
        </is>
      </c>
      <c r="E612" s="416" t="n">
        <v>53</v>
      </c>
      <c r="F612" s="416" t="n"/>
      <c r="G612" s="416" t="n"/>
      <c r="H612" s="417" t="n"/>
    </row>
    <row r="613" ht="15" customHeight="1" s="210">
      <c r="A613" s="386">
        <f>LEFT(B613, FIND("-", B613) - 1)</f>
        <v/>
      </c>
      <c r="B613" s="386" t="inlineStr">
        <is>
          <t>TRAN-CITATIONCLOSE</t>
        </is>
      </c>
      <c r="C613" s="415" t="inlineStr">
        <is>
          <t>2020</t>
        </is>
      </c>
      <c r="D613" s="416" t="inlineStr">
        <is>
          <t>Court Summons</t>
        </is>
      </c>
      <c r="E613" s="416" t="n">
        <v>193</v>
      </c>
      <c r="F613" s="416" t="n"/>
      <c r="G613" s="416" t="n"/>
      <c r="H613" s="417" t="n"/>
    </row>
    <row r="614" ht="15" customHeight="1" s="210">
      <c r="A614" s="386">
        <f>LEFT(B614, FIND("-", B614) - 1)</f>
        <v/>
      </c>
      <c r="B614" s="386" t="inlineStr">
        <is>
          <t>TRAN-CITATIONCLOSE</t>
        </is>
      </c>
      <c r="C614" s="415" t="inlineStr">
        <is>
          <t>2020</t>
        </is>
      </c>
      <c r="D614" s="416" t="inlineStr">
        <is>
          <t>Equipment Malfunction</t>
        </is>
      </c>
      <c r="E614" s="416" t="n">
        <v>30</v>
      </c>
      <c r="F614" s="416" t="n"/>
      <c r="G614" s="416" t="n"/>
      <c r="H614" s="417" t="n"/>
    </row>
    <row r="615" ht="15" customHeight="1" s="210">
      <c r="A615" s="386">
        <f>LEFT(B615, FIND("-", B615) - 1)</f>
        <v/>
      </c>
      <c r="B615" s="386" t="inlineStr">
        <is>
          <t>TRAN-CITATIONCLOSE</t>
        </is>
      </c>
      <c r="C615" s="415" t="inlineStr">
        <is>
          <t>2020</t>
        </is>
      </c>
      <c r="D615" s="416" t="inlineStr">
        <is>
          <t>Handicap Permit</t>
        </is>
      </c>
      <c r="E615" s="416" t="n">
        <v>99</v>
      </c>
      <c r="F615" s="416" t="n"/>
      <c r="G615" s="416" t="n"/>
      <c r="H615" s="417" t="n"/>
    </row>
    <row r="616" ht="15" customHeight="1" s="210">
      <c r="A616" s="386">
        <f>LEFT(B616, FIND("-", B616) - 1)</f>
        <v/>
      </c>
      <c r="B616" s="386" t="inlineStr">
        <is>
          <t>TRAN-CITATIONCLOSE</t>
        </is>
      </c>
      <c r="C616" s="415" t="inlineStr">
        <is>
          <t>2020</t>
        </is>
      </c>
      <c r="D616" s="416" t="inlineStr">
        <is>
          <t>La Plata County Sheriff</t>
        </is>
      </c>
      <c r="E616" s="416" t="n">
        <v>5</v>
      </c>
      <c r="F616" s="416" t="n"/>
      <c r="G616" s="416" t="n"/>
      <c r="H616" s="417" t="n"/>
    </row>
    <row r="617" ht="15" customHeight="1" s="210">
      <c r="A617" s="386">
        <f>LEFT(B617, FIND("-", B617) - 1)</f>
        <v/>
      </c>
      <c r="B617" s="386" t="inlineStr">
        <is>
          <t>TRAN-CITATIONCLOSE</t>
        </is>
      </c>
      <c r="C617" s="415" t="inlineStr">
        <is>
          <t>2020</t>
        </is>
      </c>
      <c r="D617" s="416" t="inlineStr">
        <is>
          <t>Meter Malfunction</t>
        </is>
      </c>
      <c r="E617" s="416" t="n">
        <v>181</v>
      </c>
      <c r="F617" s="416" t="n"/>
      <c r="G617" s="416" t="n"/>
      <c r="H617" s="417" t="n"/>
    </row>
    <row r="618" ht="15" customHeight="1" s="210">
      <c r="A618" s="386">
        <f>LEFT(B618, FIND("-", B618) - 1)</f>
        <v/>
      </c>
      <c r="B618" s="386" t="inlineStr">
        <is>
          <t>TRAN-CITATIONCLOSE</t>
        </is>
      </c>
      <c r="C618" s="415" t="inlineStr">
        <is>
          <t>2020</t>
        </is>
      </c>
      <c r="D618" s="416" t="inlineStr">
        <is>
          <t>Officer/Operator Error</t>
        </is>
      </c>
      <c r="E618" s="416" t="n">
        <v>72</v>
      </c>
      <c r="F618" s="416" t="n"/>
      <c r="G618" s="416" t="n"/>
      <c r="H618" s="417" t="n"/>
    </row>
    <row r="619" ht="15" customHeight="1" s="210">
      <c r="A619" s="386">
        <f>LEFT(B619, FIND("-", B619) - 1)</f>
        <v/>
      </c>
      <c r="B619" s="386" t="inlineStr">
        <is>
          <t>TRAN-CITATIONCLOSE</t>
        </is>
      </c>
      <c r="C619" s="415" t="inlineStr">
        <is>
          <t>2020</t>
        </is>
      </c>
      <c r="D619" s="416" t="inlineStr">
        <is>
          <t>Registration</t>
        </is>
      </c>
      <c r="E619" s="416" t="n">
        <v>326</v>
      </c>
      <c r="F619" s="416" t="n"/>
      <c r="G619" s="416" t="n"/>
      <c r="H619" s="417" t="n"/>
    </row>
    <row r="620" ht="15" customHeight="1" s="210">
      <c r="A620" s="386">
        <f>LEFT(B620, FIND("-", B620) - 1)</f>
        <v/>
      </c>
      <c r="B620" s="386" t="inlineStr">
        <is>
          <t>TRAN-CITATIONCLOSE</t>
        </is>
      </c>
      <c r="C620" s="415" t="inlineStr">
        <is>
          <t>2020</t>
        </is>
      </c>
      <c r="D620" s="416" t="inlineStr">
        <is>
          <t>Review Outcome Dismissed</t>
        </is>
      </c>
      <c r="E620" s="416" t="n">
        <v>48</v>
      </c>
      <c r="F620" s="416" t="n"/>
      <c r="G620" s="416" t="n"/>
      <c r="H620" s="417" t="n"/>
    </row>
    <row r="621" ht="15" customHeight="1" s="210">
      <c r="A621" s="386">
        <f>LEFT(B621, FIND("-", B621) - 1)</f>
        <v/>
      </c>
      <c r="B621" s="386" t="inlineStr">
        <is>
          <t>TRAN-CITATIONCLOSE</t>
        </is>
      </c>
      <c r="C621" s="415" t="inlineStr">
        <is>
          <t>2020</t>
        </is>
      </c>
      <c r="D621" s="416" t="inlineStr">
        <is>
          <t>Unable to Locate Owner</t>
        </is>
      </c>
      <c r="E621" s="416" t="n">
        <v>85</v>
      </c>
      <c r="F621" s="416" t="n"/>
      <c r="G621" s="416" t="n"/>
      <c r="H621" s="417" t="n"/>
    </row>
    <row r="622" ht="15" customHeight="1" s="210">
      <c r="A622" s="386">
        <f>LEFT(B622, FIND("-", B622) - 1)</f>
        <v/>
      </c>
      <c r="B622" s="386" t="inlineStr">
        <is>
          <t>TRAN-CITATIONCLOSE</t>
        </is>
      </c>
      <c r="C622" s="415" t="inlineStr">
        <is>
          <t>2021</t>
        </is>
      </c>
      <c r="D622" s="416" t="inlineStr">
        <is>
          <t>Warnings</t>
        </is>
      </c>
      <c r="E622" s="416" t="n">
        <v>1500</v>
      </c>
      <c r="F622" s="416" t="n"/>
      <c r="G622" s="416" t="n"/>
      <c r="H622" s="417" t="n"/>
    </row>
    <row r="623" ht="15" customHeight="1" s="210">
      <c r="A623" s="386">
        <f>LEFT(B623, FIND("-", B623) - 1)</f>
        <v/>
      </c>
      <c r="B623" s="386" t="inlineStr">
        <is>
          <t>TRAN-CITATIONCLOSE</t>
        </is>
      </c>
      <c r="C623" s="415" t="inlineStr">
        <is>
          <t>2021</t>
        </is>
      </c>
      <c r="D623" s="416" t="inlineStr">
        <is>
          <t>City Admin Void</t>
        </is>
      </c>
      <c r="E623" s="416" t="n">
        <v>88</v>
      </c>
      <c r="F623" s="416" t="n"/>
      <c r="G623" s="416" t="n"/>
      <c r="H623" s="417" t="n"/>
    </row>
    <row r="624" ht="15" customHeight="1" s="210">
      <c r="A624" s="386">
        <f>LEFT(B624, FIND("-", B624) - 1)</f>
        <v/>
      </c>
      <c r="B624" s="386" t="inlineStr">
        <is>
          <t>TRAN-CITATIONCLOSE</t>
        </is>
      </c>
      <c r="C624" s="415" t="inlineStr">
        <is>
          <t>2021</t>
        </is>
      </c>
      <c r="D624" s="416" t="inlineStr">
        <is>
          <t>Court Summons</t>
        </is>
      </c>
      <c r="E624" s="416" t="n">
        <v>259</v>
      </c>
      <c r="F624" s="416" t="n"/>
      <c r="G624" s="416" t="n"/>
      <c r="H624" s="417" t="n"/>
    </row>
    <row r="625" ht="15" customHeight="1" s="210">
      <c r="A625" s="386">
        <f>LEFT(B625, FIND("-", B625) - 1)</f>
        <v/>
      </c>
      <c r="B625" s="386" t="inlineStr">
        <is>
          <t>TRAN-CITATIONCLOSE</t>
        </is>
      </c>
      <c r="C625" s="415" t="inlineStr">
        <is>
          <t>2021</t>
        </is>
      </c>
      <c r="D625" s="416" t="inlineStr">
        <is>
          <t>Equipment Malfunction</t>
        </is>
      </c>
      <c r="E625" s="416" t="n">
        <v>57</v>
      </c>
      <c r="F625" s="416" t="n"/>
      <c r="G625" s="416" t="n"/>
      <c r="H625" s="417" t="n"/>
    </row>
    <row r="626" ht="15" customHeight="1" s="210">
      <c r="A626" s="386">
        <f>LEFT(B626, FIND("-", B626) - 1)</f>
        <v/>
      </c>
      <c r="B626" s="386" t="inlineStr">
        <is>
          <t>TRAN-CITATIONCLOSE</t>
        </is>
      </c>
      <c r="C626" s="415" t="inlineStr">
        <is>
          <t>2021</t>
        </is>
      </c>
      <c r="D626" s="416" t="inlineStr">
        <is>
          <t>Handicap Permit</t>
        </is>
      </c>
      <c r="E626" s="416" t="n">
        <v>61</v>
      </c>
      <c r="F626" s="416" t="n"/>
      <c r="G626" s="416" t="n"/>
      <c r="H626" s="417" t="n"/>
    </row>
    <row r="627" ht="15" customHeight="1" s="210">
      <c r="A627" s="386">
        <f>LEFT(B627, FIND("-", B627) - 1)</f>
        <v/>
      </c>
      <c r="B627" s="386" t="inlineStr">
        <is>
          <t>TRAN-CITATIONCLOSE</t>
        </is>
      </c>
      <c r="C627" s="415" t="inlineStr">
        <is>
          <t>2021</t>
        </is>
      </c>
      <c r="D627" s="416" t="inlineStr">
        <is>
          <t>La Plata County Sheriff</t>
        </is>
      </c>
      <c r="E627" s="416" t="n">
        <v>13</v>
      </c>
      <c r="F627" s="416" t="n"/>
      <c r="G627" s="416" t="n"/>
      <c r="H627" s="417" t="n"/>
    </row>
    <row r="628" ht="15" customHeight="1" s="210">
      <c r="A628" s="386">
        <f>LEFT(B628, FIND("-", B628) - 1)</f>
        <v/>
      </c>
      <c r="B628" s="386" t="inlineStr">
        <is>
          <t>TRAN-CITATIONCLOSE</t>
        </is>
      </c>
      <c r="C628" s="415" t="inlineStr">
        <is>
          <t>2021</t>
        </is>
      </c>
      <c r="D628" s="416" t="inlineStr">
        <is>
          <t>Meter Malfunction</t>
        </is>
      </c>
      <c r="E628" s="416" t="n">
        <v>54</v>
      </c>
      <c r="F628" s="416" t="n"/>
      <c r="G628" s="416" t="n"/>
      <c r="H628" s="417" t="n"/>
    </row>
    <row r="629" ht="15" customHeight="1" s="210">
      <c r="A629" s="386">
        <f>LEFT(B629, FIND("-", B629) - 1)</f>
        <v/>
      </c>
      <c r="B629" s="386" t="inlineStr">
        <is>
          <t>TRAN-CITATIONCLOSE</t>
        </is>
      </c>
      <c r="C629" s="415" t="inlineStr">
        <is>
          <t>2021</t>
        </is>
      </c>
      <c r="D629" s="416" t="inlineStr">
        <is>
          <t>Officer/Operator Error</t>
        </is>
      </c>
      <c r="E629" s="416" t="n">
        <v>86</v>
      </c>
      <c r="F629" s="416" t="n"/>
      <c r="G629" s="416" t="n"/>
      <c r="H629" s="417" t="n"/>
    </row>
    <row r="630" ht="15" customHeight="1" s="210">
      <c r="A630" s="386">
        <f>LEFT(B630, FIND("-", B630) - 1)</f>
        <v/>
      </c>
      <c r="B630" s="386" t="inlineStr">
        <is>
          <t>TRAN-CITATIONCLOSE</t>
        </is>
      </c>
      <c r="C630" s="415" t="inlineStr">
        <is>
          <t>2021</t>
        </is>
      </c>
      <c r="D630" s="416" t="inlineStr">
        <is>
          <t>Registration</t>
        </is>
      </c>
      <c r="E630" s="416" t="n">
        <v>424</v>
      </c>
      <c r="F630" s="416" t="n"/>
      <c r="G630" s="416" t="n"/>
      <c r="H630" s="417" t="n"/>
    </row>
    <row r="631" ht="15" customHeight="1" s="210">
      <c r="A631" s="386">
        <f>LEFT(B631, FIND("-", B631) - 1)</f>
        <v/>
      </c>
      <c r="B631" s="386" t="inlineStr">
        <is>
          <t>TRAN-CITATIONCLOSE</t>
        </is>
      </c>
      <c r="C631" s="415" t="inlineStr">
        <is>
          <t>2021</t>
        </is>
      </c>
      <c r="D631" s="416" t="inlineStr">
        <is>
          <t>Review Outcome Dismissed</t>
        </is>
      </c>
      <c r="E631" s="416" t="n">
        <v>77</v>
      </c>
      <c r="F631" s="416" t="n"/>
      <c r="G631" s="416" t="n"/>
      <c r="H631" s="417" t="n"/>
    </row>
    <row r="632" ht="15" customHeight="1" s="210">
      <c r="A632" s="386">
        <f>LEFT(B632, FIND("-", B632) - 1)</f>
        <v/>
      </c>
      <c r="B632" s="386" t="inlineStr">
        <is>
          <t>TRAN-CITATIONCLOSE</t>
        </is>
      </c>
      <c r="C632" s="415" t="inlineStr">
        <is>
          <t>2021</t>
        </is>
      </c>
      <c r="D632" s="416" t="inlineStr">
        <is>
          <t>Unable to Locate Owner</t>
        </is>
      </c>
      <c r="E632" s="416" t="n">
        <v>104</v>
      </c>
      <c r="F632" s="416" t="n"/>
      <c r="G632" s="416" t="n"/>
      <c r="H632" s="417" t="n"/>
    </row>
    <row r="633" ht="15" customHeight="1" s="210">
      <c r="A633" s="386">
        <f>LEFT(B633, FIND("-", B633) - 1)</f>
        <v/>
      </c>
      <c r="B633" s="386" t="inlineStr">
        <is>
          <t>TRAN-CITATIONCLOSE</t>
        </is>
      </c>
      <c r="C633" s="415" t="inlineStr">
        <is>
          <t>2022</t>
        </is>
      </c>
      <c r="D633" s="416" t="inlineStr">
        <is>
          <t>Warnings</t>
        </is>
      </c>
      <c r="E633" s="416" t="n">
        <v>1434</v>
      </c>
      <c r="F633" s="416" t="n"/>
      <c r="G633" s="416" t="n"/>
      <c r="H633" s="417" t="n"/>
    </row>
    <row r="634" ht="15" customHeight="1" s="210">
      <c r="A634" s="386">
        <f>LEFT(B634, FIND("-", B634) - 1)</f>
        <v/>
      </c>
      <c r="B634" s="386" t="inlineStr">
        <is>
          <t>TRAN-CITATIONCLOSE</t>
        </is>
      </c>
      <c r="C634" s="415" t="inlineStr">
        <is>
          <t>2022</t>
        </is>
      </c>
      <c r="D634" s="416" t="inlineStr">
        <is>
          <t>City Admin Void</t>
        </is>
      </c>
      <c r="E634" s="416" t="n">
        <v>85</v>
      </c>
      <c r="F634" s="416" t="n"/>
      <c r="G634" s="416" t="n"/>
      <c r="H634" s="417" t="n"/>
    </row>
    <row r="635" ht="15" customHeight="1" s="210">
      <c r="A635" s="386">
        <f>LEFT(B635, FIND("-", B635) - 1)</f>
        <v/>
      </c>
      <c r="B635" s="386" t="inlineStr">
        <is>
          <t>TRAN-CITATIONCLOSE</t>
        </is>
      </c>
      <c r="C635" s="415" t="inlineStr">
        <is>
          <t>2022</t>
        </is>
      </c>
      <c r="D635" s="416" t="inlineStr">
        <is>
          <t>Court Summons</t>
        </is>
      </c>
      <c r="E635" s="416" t="n">
        <v>321</v>
      </c>
      <c r="F635" s="416" t="n"/>
      <c r="G635" s="416" t="n"/>
      <c r="H635" s="417" t="n"/>
    </row>
    <row r="636" ht="15" customHeight="1" s="210">
      <c r="A636" s="386">
        <f>LEFT(B636, FIND("-", B636) - 1)</f>
        <v/>
      </c>
      <c r="B636" s="386" t="inlineStr">
        <is>
          <t>TRAN-CITATIONCLOSE</t>
        </is>
      </c>
      <c r="C636" s="415" t="inlineStr">
        <is>
          <t>2022</t>
        </is>
      </c>
      <c r="D636" s="416" t="inlineStr">
        <is>
          <t>Equipment Malfunction</t>
        </is>
      </c>
      <c r="E636" s="416" t="n">
        <v>106</v>
      </c>
      <c r="F636" s="416" t="n"/>
      <c r="G636" s="416" t="n"/>
      <c r="H636" s="417" t="n"/>
    </row>
    <row r="637" ht="15" customHeight="1" s="210">
      <c r="A637" s="386">
        <f>LEFT(B637, FIND("-", B637) - 1)</f>
        <v/>
      </c>
      <c r="B637" s="386" t="inlineStr">
        <is>
          <t>TRAN-CITATIONCLOSE</t>
        </is>
      </c>
      <c r="C637" s="415" t="inlineStr">
        <is>
          <t>2022</t>
        </is>
      </c>
      <c r="D637" s="416" t="inlineStr">
        <is>
          <t>Handicap Permit</t>
        </is>
      </c>
      <c r="E637" s="416" t="n">
        <v>74</v>
      </c>
      <c r="F637" s="416" t="n"/>
      <c r="G637" s="416" t="n"/>
      <c r="H637" s="417" t="n"/>
    </row>
    <row r="638" ht="15" customHeight="1" s="210">
      <c r="A638" s="386">
        <f>LEFT(B638, FIND("-", B638) - 1)</f>
        <v/>
      </c>
      <c r="B638" s="386" t="inlineStr">
        <is>
          <t>TRAN-CITATIONCLOSE</t>
        </is>
      </c>
      <c r="C638" s="415" t="inlineStr">
        <is>
          <t>2022</t>
        </is>
      </c>
      <c r="D638" s="416" t="inlineStr">
        <is>
          <t>La Plata County Sheriff</t>
        </is>
      </c>
      <c r="E638" s="416" t="n">
        <v>14</v>
      </c>
      <c r="F638" s="416" t="n"/>
      <c r="G638" s="416" t="n"/>
      <c r="H638" s="417" t="n"/>
    </row>
    <row r="639" ht="15" customHeight="1" s="210">
      <c r="A639" s="386">
        <f>LEFT(B639, FIND("-", B639) - 1)</f>
        <v/>
      </c>
      <c r="B639" s="386" t="inlineStr">
        <is>
          <t>TRAN-CITATIONCLOSE</t>
        </is>
      </c>
      <c r="C639" s="415" t="inlineStr">
        <is>
          <t>2022</t>
        </is>
      </c>
      <c r="D639" s="416" t="inlineStr">
        <is>
          <t>Meter Malfunction</t>
        </is>
      </c>
      <c r="E639" s="416" t="n">
        <v>31</v>
      </c>
      <c r="F639" s="416" t="n"/>
      <c r="G639" s="416" t="n"/>
      <c r="H639" s="417" t="n"/>
    </row>
    <row r="640" ht="15" customHeight="1" s="210">
      <c r="A640" s="386">
        <f>LEFT(B640, FIND("-", B640) - 1)</f>
        <v/>
      </c>
      <c r="B640" s="386" t="inlineStr">
        <is>
          <t>TRAN-CITATIONCLOSE</t>
        </is>
      </c>
      <c r="C640" s="415" t="inlineStr">
        <is>
          <t>2022</t>
        </is>
      </c>
      <c r="D640" s="416" t="inlineStr">
        <is>
          <t>Officer/Operator Error</t>
        </is>
      </c>
      <c r="E640" s="416" t="n">
        <v>156</v>
      </c>
      <c r="F640" s="416" t="n"/>
      <c r="G640" s="416" t="n"/>
      <c r="H640" s="417" t="n"/>
    </row>
    <row r="641" ht="15" customHeight="1" s="210">
      <c r="A641" s="386">
        <f>LEFT(B641, FIND("-", B641) - 1)</f>
        <v/>
      </c>
      <c r="B641" s="386" t="inlineStr">
        <is>
          <t>TRAN-CITATIONCLOSE</t>
        </is>
      </c>
      <c r="C641" s="415" t="inlineStr">
        <is>
          <t>2022</t>
        </is>
      </c>
      <c r="D641" s="416" t="inlineStr">
        <is>
          <t>Registration</t>
        </is>
      </c>
      <c r="E641" s="416" t="n">
        <v>364</v>
      </c>
      <c r="F641" s="416" t="n"/>
      <c r="G641" s="416" t="n"/>
      <c r="H641" s="417" t="n"/>
    </row>
    <row r="642" ht="15" customHeight="1" s="210">
      <c r="A642" s="386">
        <f>LEFT(B642, FIND("-", B642) - 1)</f>
        <v/>
      </c>
      <c r="B642" s="386" t="inlineStr">
        <is>
          <t>TRAN-CITATIONCLOSE</t>
        </is>
      </c>
      <c r="C642" s="415" t="inlineStr">
        <is>
          <t>2022</t>
        </is>
      </c>
      <c r="D642" s="416" t="inlineStr">
        <is>
          <t>Review Outcome Dismissed</t>
        </is>
      </c>
      <c r="E642" s="416" t="n">
        <v>205</v>
      </c>
      <c r="F642" s="416" t="n"/>
      <c r="G642" s="416" t="n"/>
      <c r="H642" s="417" t="n"/>
    </row>
    <row r="643" ht="15" customHeight="1" s="210">
      <c r="A643" s="386">
        <f>LEFT(B643, FIND("-", B643) - 1)</f>
        <v/>
      </c>
      <c r="B643" s="386" t="inlineStr">
        <is>
          <t>TRAN-CITATIONCLOSE</t>
        </is>
      </c>
      <c r="C643" s="415" t="inlineStr">
        <is>
          <t>2022</t>
        </is>
      </c>
      <c r="D643" s="416" t="inlineStr">
        <is>
          <t>Unable to Locate Owner</t>
        </is>
      </c>
      <c r="E643" s="416" t="n">
        <v>75</v>
      </c>
      <c r="F643" s="416" t="n"/>
      <c r="G643" s="416" t="n"/>
      <c r="H643" s="417" t="n"/>
    </row>
    <row r="644" ht="15" customHeight="1" s="210">
      <c r="A644" s="386">
        <f>LEFT(B644, FIND("-", B644) - 1)</f>
        <v/>
      </c>
      <c r="B644" s="386" t="inlineStr">
        <is>
          <t>TRAN-CITATIONCLOSE</t>
        </is>
      </c>
      <c r="C644" s="415" t="inlineStr">
        <is>
          <t>2023</t>
        </is>
      </c>
      <c r="D644" s="416" t="inlineStr">
        <is>
          <t>Warnings</t>
        </is>
      </c>
      <c r="E644" s="416" t="n">
        <v>1271</v>
      </c>
      <c r="F644" s="416" t="n"/>
      <c r="G644" s="416" t="n"/>
      <c r="H644" s="417" t="n"/>
    </row>
    <row r="645" ht="15" customHeight="1" s="210">
      <c r="A645" s="386">
        <f>LEFT(B645, FIND("-", B645) - 1)</f>
        <v/>
      </c>
      <c r="B645" s="386" t="inlineStr">
        <is>
          <t>TRAN-CITATIONCLOSE</t>
        </is>
      </c>
      <c r="C645" s="415" t="inlineStr">
        <is>
          <t>2023</t>
        </is>
      </c>
      <c r="D645" s="416" t="inlineStr">
        <is>
          <t>City Admin Void</t>
        </is>
      </c>
      <c r="E645" s="416" t="n">
        <v>108</v>
      </c>
      <c r="F645" s="416" t="n"/>
      <c r="G645" s="416" t="n"/>
      <c r="H645" s="417" t="n"/>
    </row>
    <row r="646" ht="15" customHeight="1" s="210">
      <c r="A646" s="386">
        <f>LEFT(B646, FIND("-", B646) - 1)</f>
        <v/>
      </c>
      <c r="B646" s="386" t="inlineStr">
        <is>
          <t>TRAN-CITATIONCLOSE</t>
        </is>
      </c>
      <c r="C646" s="415" t="inlineStr">
        <is>
          <t>2023</t>
        </is>
      </c>
      <c r="D646" s="416" t="inlineStr">
        <is>
          <t>Court Summons</t>
        </is>
      </c>
      <c r="E646" s="416" t="n">
        <v>299</v>
      </c>
      <c r="F646" s="416" t="n"/>
      <c r="G646" s="416" t="n"/>
      <c r="H646" s="417" t="n"/>
    </row>
    <row r="647" ht="15" customHeight="1" s="210">
      <c r="A647" s="386">
        <f>LEFT(B647, FIND("-", B647) - 1)</f>
        <v/>
      </c>
      <c r="B647" s="386" t="inlineStr">
        <is>
          <t>TRAN-CITATIONCLOSE</t>
        </is>
      </c>
      <c r="C647" s="415" t="inlineStr">
        <is>
          <t>2023</t>
        </is>
      </c>
      <c r="D647" s="416" t="inlineStr">
        <is>
          <t>Equipment Malfunction</t>
        </is>
      </c>
      <c r="E647" s="416" t="n">
        <v>103</v>
      </c>
      <c r="F647" s="416" t="n"/>
      <c r="G647" s="416" t="n"/>
      <c r="H647" s="417" t="n"/>
    </row>
    <row r="648" ht="15" customHeight="1" s="210">
      <c r="A648" s="386">
        <f>LEFT(B648, FIND("-", B648) - 1)</f>
        <v/>
      </c>
      <c r="B648" s="386" t="inlineStr">
        <is>
          <t>TRAN-CITATIONCLOSE</t>
        </is>
      </c>
      <c r="C648" s="415" t="inlineStr">
        <is>
          <t>2023</t>
        </is>
      </c>
      <c r="D648" s="416" t="inlineStr">
        <is>
          <t>Handicap Permit</t>
        </is>
      </c>
      <c r="E648" s="416" t="n">
        <v>87</v>
      </c>
      <c r="F648" s="416" t="n"/>
      <c r="G648" s="416" t="n"/>
      <c r="H648" s="417" t="n"/>
    </row>
    <row r="649" ht="15" customHeight="1" s="210">
      <c r="A649" s="386">
        <f>LEFT(B649, FIND("-", B649) - 1)</f>
        <v/>
      </c>
      <c r="B649" s="386" t="inlineStr">
        <is>
          <t>TRAN-CITATIONCLOSE</t>
        </is>
      </c>
      <c r="C649" s="415" t="inlineStr">
        <is>
          <t>2023</t>
        </is>
      </c>
      <c r="D649" s="416" t="inlineStr">
        <is>
          <t>La Plata County Sheriff</t>
        </is>
      </c>
      <c r="E649" s="416" t="n">
        <v>8</v>
      </c>
      <c r="F649" s="416" t="n"/>
      <c r="G649" s="416" t="n"/>
      <c r="H649" s="417" t="n"/>
    </row>
    <row r="650" ht="15" customHeight="1" s="210">
      <c r="A650" s="386">
        <f>LEFT(B650, FIND("-", B650) - 1)</f>
        <v/>
      </c>
      <c r="B650" s="386" t="inlineStr">
        <is>
          <t>TRAN-CITATIONCLOSE</t>
        </is>
      </c>
      <c r="C650" s="415" t="inlineStr">
        <is>
          <t>2023</t>
        </is>
      </c>
      <c r="D650" s="416" t="inlineStr">
        <is>
          <t>Meter Malfunction</t>
        </is>
      </c>
      <c r="E650" s="416" t="n">
        <v>54</v>
      </c>
      <c r="F650" s="416" t="n"/>
      <c r="G650" s="416" t="n"/>
      <c r="H650" s="417" t="n"/>
    </row>
    <row r="651" ht="15" customHeight="1" s="210">
      <c r="A651" s="386">
        <f>LEFT(B651, FIND("-", B651) - 1)</f>
        <v/>
      </c>
      <c r="B651" s="386" t="inlineStr">
        <is>
          <t>TRAN-CITATIONCLOSE</t>
        </is>
      </c>
      <c r="C651" s="415" t="inlineStr">
        <is>
          <t>2023</t>
        </is>
      </c>
      <c r="D651" s="416" t="inlineStr">
        <is>
          <t>Officer/Operator Error</t>
        </is>
      </c>
      <c r="E651" s="416" t="n">
        <v>155</v>
      </c>
      <c r="F651" s="416" t="n"/>
      <c r="G651" s="416" t="n"/>
      <c r="H651" s="417" t="n"/>
    </row>
    <row r="652" ht="15" customHeight="1" s="210">
      <c r="A652" s="386">
        <f>LEFT(B652, FIND("-", B652) - 1)</f>
        <v/>
      </c>
      <c r="B652" s="386" t="inlineStr">
        <is>
          <t>TRAN-CITATIONCLOSE</t>
        </is>
      </c>
      <c r="C652" s="415" t="inlineStr">
        <is>
          <t>2023</t>
        </is>
      </c>
      <c r="D652" s="416" t="inlineStr">
        <is>
          <t>Registration</t>
        </is>
      </c>
      <c r="E652" s="416" t="n">
        <v>314</v>
      </c>
      <c r="F652" s="416" t="n"/>
      <c r="G652" s="416" t="n"/>
      <c r="H652" s="417" t="n"/>
    </row>
    <row r="653" ht="15" customHeight="1" s="210">
      <c r="A653" s="386">
        <f>LEFT(B653, FIND("-", B653) - 1)</f>
        <v/>
      </c>
      <c r="B653" s="386" t="inlineStr">
        <is>
          <t>TRAN-CITATIONCLOSE</t>
        </is>
      </c>
      <c r="C653" s="415" t="inlineStr">
        <is>
          <t>2023</t>
        </is>
      </c>
      <c r="D653" s="416" t="inlineStr">
        <is>
          <t>Review Outcome Dismissed</t>
        </is>
      </c>
      <c r="E653" s="416" t="n">
        <v>29</v>
      </c>
      <c r="F653" s="416" t="n"/>
      <c r="G653" s="416" t="n"/>
      <c r="H653" s="417" t="n"/>
    </row>
    <row r="654" ht="15" customHeight="1" s="210">
      <c r="A654" s="386">
        <f>LEFT(B654, FIND("-", B654) - 1)</f>
        <v/>
      </c>
      <c r="B654" s="386" t="inlineStr">
        <is>
          <t>TRAN-CITATIONCLOSE</t>
        </is>
      </c>
      <c r="C654" s="415" t="inlineStr">
        <is>
          <t>2023</t>
        </is>
      </c>
      <c r="D654" s="416" t="inlineStr">
        <is>
          <t>Unable to Locate Owner</t>
        </is>
      </c>
      <c r="E654" s="416" t="n">
        <v>105</v>
      </c>
      <c r="F654" s="416" t="n"/>
      <c r="G654" s="416" t="n"/>
      <c r="H654" s="417" t="n"/>
    </row>
    <row r="655" ht="15" customHeight="1" s="210">
      <c r="A655" s="386">
        <f>LEFT(B655, FIND("-", B655) - 1)</f>
        <v/>
      </c>
      <c r="B655" s="386" t="inlineStr">
        <is>
          <t>TRAN-CITATIONCLOSE</t>
        </is>
      </c>
      <c r="C655" s="415" t="inlineStr">
        <is>
          <t>2024</t>
        </is>
      </c>
      <c r="D655" s="416" t="inlineStr">
        <is>
          <t>Warnings</t>
        </is>
      </c>
      <c r="E655" s="416" t="n">
        <v>1004</v>
      </c>
      <c r="F655" s="416" t="n"/>
      <c r="G655" s="416" t="n"/>
      <c r="H655" s="417" t="n"/>
    </row>
    <row r="656" ht="15" customHeight="1" s="210">
      <c r="A656" s="386">
        <f>LEFT(B656, FIND("-", B656) - 1)</f>
        <v/>
      </c>
      <c r="B656" s="386" t="inlineStr">
        <is>
          <t>TRAN-CITATIONCLOSE</t>
        </is>
      </c>
      <c r="C656" s="415" t="inlineStr">
        <is>
          <t>2024</t>
        </is>
      </c>
      <c r="D656" s="416" t="inlineStr">
        <is>
          <t>City Admin Void</t>
        </is>
      </c>
      <c r="E656" s="416" t="n">
        <v>63</v>
      </c>
      <c r="F656" s="416" t="n"/>
      <c r="G656" s="416" t="n"/>
      <c r="H656" s="417" t="n"/>
    </row>
    <row r="657" ht="15" customHeight="1" s="210">
      <c r="A657" s="386">
        <f>LEFT(B657, FIND("-", B657) - 1)</f>
        <v/>
      </c>
      <c r="B657" s="386" t="inlineStr">
        <is>
          <t>TRAN-CITATIONCLOSE</t>
        </is>
      </c>
      <c r="C657" s="415" t="inlineStr">
        <is>
          <t>2024</t>
        </is>
      </c>
      <c r="D657" s="416" t="inlineStr">
        <is>
          <t>Court Summons</t>
        </is>
      </c>
      <c r="E657" s="416" t="n">
        <v>148</v>
      </c>
      <c r="F657" s="416" t="n"/>
      <c r="G657" s="416" t="n"/>
      <c r="H657" s="417" t="n"/>
    </row>
    <row r="658" ht="15" customHeight="1" s="210">
      <c r="A658" s="386">
        <f>LEFT(B658, FIND("-", B658) - 1)</f>
        <v/>
      </c>
      <c r="B658" s="386" t="inlineStr">
        <is>
          <t>TRAN-CITATIONCLOSE</t>
        </is>
      </c>
      <c r="C658" s="415" t="inlineStr">
        <is>
          <t>2024</t>
        </is>
      </c>
      <c r="D658" s="416" t="inlineStr">
        <is>
          <t>Equipment Malfunction</t>
        </is>
      </c>
      <c r="E658" s="416" t="n">
        <v>102</v>
      </c>
      <c r="F658" s="416" t="n"/>
      <c r="G658" s="416" t="n"/>
      <c r="H658" s="417" t="n"/>
    </row>
    <row r="659" ht="15" customHeight="1" s="210">
      <c r="A659" s="386">
        <f>LEFT(B659, FIND("-", B659) - 1)</f>
        <v/>
      </c>
      <c r="B659" s="386" t="inlineStr">
        <is>
          <t>TRAN-CITATIONCLOSE</t>
        </is>
      </c>
      <c r="C659" s="415" t="inlineStr">
        <is>
          <t>2024</t>
        </is>
      </c>
      <c r="D659" s="416" t="inlineStr">
        <is>
          <t>Handicap Permit</t>
        </is>
      </c>
      <c r="E659" s="416" t="n">
        <v>58</v>
      </c>
      <c r="F659" s="416" t="n"/>
      <c r="G659" s="416" t="n"/>
      <c r="H659" s="417" t="n"/>
    </row>
    <row r="660" ht="15" customHeight="1" s="210">
      <c r="A660" s="386">
        <f>LEFT(B660, FIND("-", B660) - 1)</f>
        <v/>
      </c>
      <c r="B660" s="386" t="inlineStr">
        <is>
          <t>TRAN-CITATIONCLOSE</t>
        </is>
      </c>
      <c r="C660" s="415" t="inlineStr">
        <is>
          <t>2024</t>
        </is>
      </c>
      <c r="D660" s="416" t="inlineStr">
        <is>
          <t>La Plata County Sheriff</t>
        </is>
      </c>
      <c r="E660" s="416" t="n">
        <v>10</v>
      </c>
      <c r="F660" s="416" t="n"/>
      <c r="G660" s="416" t="n"/>
      <c r="H660" s="417" t="n"/>
    </row>
    <row r="661" ht="15" customHeight="1" s="210">
      <c r="A661" s="386">
        <f>LEFT(B661, FIND("-", B661) - 1)</f>
        <v/>
      </c>
      <c r="B661" s="386" t="inlineStr">
        <is>
          <t>TRAN-CITATIONCLOSE</t>
        </is>
      </c>
      <c r="C661" s="415" t="inlineStr">
        <is>
          <t>2024</t>
        </is>
      </c>
      <c r="D661" s="416" t="inlineStr">
        <is>
          <t>Meter Malfunction</t>
        </is>
      </c>
      <c r="E661" s="416" t="n">
        <v>70</v>
      </c>
      <c r="F661" s="416" t="n"/>
      <c r="G661" s="416" t="n"/>
      <c r="H661" s="417" t="n"/>
    </row>
    <row r="662" ht="15" customHeight="1" s="210">
      <c r="A662" s="386">
        <f>LEFT(B662, FIND("-", B662) - 1)</f>
        <v/>
      </c>
      <c r="B662" s="386" t="inlineStr">
        <is>
          <t>TRAN-CITATIONCLOSE</t>
        </is>
      </c>
      <c r="C662" s="415" t="inlineStr">
        <is>
          <t>2024</t>
        </is>
      </c>
      <c r="D662" s="416" t="inlineStr">
        <is>
          <t>Officer/Operator Error</t>
        </is>
      </c>
      <c r="E662" s="416" t="n">
        <v>170</v>
      </c>
      <c r="F662" s="416" t="n"/>
      <c r="G662" s="416" t="n"/>
      <c r="H662" s="417" t="n"/>
    </row>
    <row r="663" ht="15" customHeight="1" s="210">
      <c r="A663" s="386">
        <f>LEFT(B663, FIND("-", B663) - 1)</f>
        <v/>
      </c>
      <c r="B663" s="386" t="inlineStr">
        <is>
          <t>TRAN-CITATIONCLOSE</t>
        </is>
      </c>
      <c r="C663" s="415" t="inlineStr">
        <is>
          <t>2024</t>
        </is>
      </c>
      <c r="D663" s="416" t="inlineStr">
        <is>
          <t>Registration</t>
        </is>
      </c>
      <c r="E663" s="416" t="n">
        <v>168</v>
      </c>
      <c r="F663" s="416" t="n"/>
      <c r="G663" s="416" t="n"/>
      <c r="H663" s="417" t="n"/>
    </row>
    <row r="664" ht="15" customHeight="1" s="210">
      <c r="A664" s="386">
        <f>LEFT(B664, FIND("-", B664) - 1)</f>
        <v/>
      </c>
      <c r="B664" s="386" t="inlineStr">
        <is>
          <t>TRAN-CITATIONCLOSE</t>
        </is>
      </c>
      <c r="C664" s="415" t="inlineStr">
        <is>
          <t>2024</t>
        </is>
      </c>
      <c r="D664" s="416" t="inlineStr">
        <is>
          <t>Review Outcome Dismissed</t>
        </is>
      </c>
      <c r="E664" s="416" t="n">
        <v>219</v>
      </c>
      <c r="F664" s="416" t="n"/>
      <c r="G664" s="416" t="n"/>
      <c r="H664" s="417" t="n"/>
    </row>
    <row r="665" ht="15" customHeight="1" s="210">
      <c r="A665" s="386">
        <f>LEFT(B665, FIND("-", B665) - 1)</f>
        <v/>
      </c>
      <c r="B665" s="386" t="inlineStr">
        <is>
          <t>TRAN-CITATIONCLOSE</t>
        </is>
      </c>
      <c r="C665" s="415" t="inlineStr">
        <is>
          <t>2024</t>
        </is>
      </c>
      <c r="D665" s="416" t="inlineStr">
        <is>
          <t>Unable to Locate Owner</t>
        </is>
      </c>
      <c r="E665" s="416" t="n">
        <v>11</v>
      </c>
      <c r="F665" s="416" t="n"/>
      <c r="G665" s="416" t="n"/>
      <c r="H665" s="417" t="n"/>
    </row>
    <row r="666" ht="15" customHeight="1" s="210">
      <c r="A666" s="386">
        <f>LEFT(B666, FIND("-", B666) - 1)</f>
        <v/>
      </c>
      <c r="B666" s="386" t="inlineStr">
        <is>
          <t>TRAN-CITATIONCLOSE</t>
        </is>
      </c>
      <c r="C666" s="415" t="inlineStr">
        <is>
          <t>2025</t>
        </is>
      </c>
      <c r="D666" s="416" t="inlineStr">
        <is>
          <t>Warnings</t>
        </is>
      </c>
      <c r="E666" s="416" t="n">
        <v>1136</v>
      </c>
      <c r="F666" s="416" t="n"/>
      <c r="G666" s="416" t="n"/>
      <c r="H666" s="417" t="n"/>
    </row>
    <row r="667" ht="15" customHeight="1" s="210">
      <c r="A667" s="386">
        <f>LEFT(B667, FIND("-", B667) - 1)</f>
        <v/>
      </c>
      <c r="B667" s="386" t="inlineStr">
        <is>
          <t>TRAN-CITATIONCLOSE</t>
        </is>
      </c>
      <c r="C667" s="415" t="inlineStr">
        <is>
          <t>2025</t>
        </is>
      </c>
      <c r="D667" s="416" t="inlineStr">
        <is>
          <t>City Admin Void</t>
        </is>
      </c>
      <c r="E667" s="416" t="n">
        <v>73</v>
      </c>
      <c r="F667" s="416" t="n"/>
      <c r="G667" s="416" t="n"/>
      <c r="H667" s="417" t="n"/>
    </row>
    <row r="668" ht="15" customHeight="1" s="210">
      <c r="A668" s="386">
        <f>LEFT(B668, FIND("-", B668) - 1)</f>
        <v/>
      </c>
      <c r="B668" s="386" t="inlineStr">
        <is>
          <t>TRAN-CITATIONCLOSE</t>
        </is>
      </c>
      <c r="C668" s="415" t="inlineStr">
        <is>
          <t>2025</t>
        </is>
      </c>
      <c r="D668" s="416" t="inlineStr">
        <is>
          <t>Court Summons</t>
        </is>
      </c>
      <c r="E668" s="416" t="n">
        <v>96</v>
      </c>
      <c r="F668" s="416" t="n"/>
      <c r="G668" s="416" t="n"/>
      <c r="H668" s="417" t="n"/>
    </row>
    <row r="669" ht="15" customHeight="1" s="210">
      <c r="A669" s="386">
        <f>LEFT(B669, FIND("-", B669) - 1)</f>
        <v/>
      </c>
      <c r="B669" s="386" t="inlineStr">
        <is>
          <t>TRAN-CITATIONCLOSE</t>
        </is>
      </c>
      <c r="C669" s="415" t="inlineStr">
        <is>
          <t>2025</t>
        </is>
      </c>
      <c r="D669" s="416" t="inlineStr">
        <is>
          <t>Equipment Malfunction</t>
        </is>
      </c>
      <c r="E669" s="416" t="n">
        <v>138</v>
      </c>
      <c r="F669" s="416" t="n"/>
      <c r="G669" s="416" t="n"/>
      <c r="H669" s="417" t="n"/>
    </row>
    <row r="670" ht="15" customHeight="1" s="210">
      <c r="A670" s="386">
        <f>LEFT(B670, FIND("-", B670) - 1)</f>
        <v/>
      </c>
      <c r="B670" s="386" t="inlineStr">
        <is>
          <t>TRAN-CITATIONCLOSE</t>
        </is>
      </c>
      <c r="C670" s="415" t="inlineStr">
        <is>
          <t>2025</t>
        </is>
      </c>
      <c r="D670" s="416" t="inlineStr">
        <is>
          <t>Handicap Permit</t>
        </is>
      </c>
      <c r="E670" s="416" t="n">
        <v>93</v>
      </c>
      <c r="F670" s="416" t="n"/>
      <c r="G670" s="416" t="n"/>
      <c r="H670" s="417" t="n"/>
    </row>
    <row r="671" ht="15" customHeight="1" s="210">
      <c r="A671" s="386">
        <f>LEFT(B671, FIND("-", B671) - 1)</f>
        <v/>
      </c>
      <c r="B671" s="386" t="inlineStr">
        <is>
          <t>TRAN-CITATIONCLOSE</t>
        </is>
      </c>
      <c r="C671" s="415" t="inlineStr">
        <is>
          <t>2025</t>
        </is>
      </c>
      <c r="D671" s="416" t="inlineStr">
        <is>
          <t>La Plata County Sheriff</t>
        </is>
      </c>
      <c r="E671" s="416" t="n">
        <v>6</v>
      </c>
      <c r="F671" s="416" t="n"/>
      <c r="G671" s="416" t="n"/>
      <c r="H671" s="417" t="n"/>
    </row>
    <row r="672" ht="15" customHeight="1" s="210">
      <c r="A672" s="386">
        <f>LEFT(B672, FIND("-", B672) - 1)</f>
        <v/>
      </c>
      <c r="B672" s="386" t="inlineStr">
        <is>
          <t>TRAN-CITATIONCLOSE</t>
        </is>
      </c>
      <c r="C672" s="415" t="inlineStr">
        <is>
          <t>2025</t>
        </is>
      </c>
      <c r="D672" s="416" t="inlineStr">
        <is>
          <t>Meter Malfunction</t>
        </is>
      </c>
      <c r="E672" s="416" t="n">
        <v>29</v>
      </c>
      <c r="F672" s="416" t="n"/>
      <c r="G672" s="416" t="n"/>
      <c r="H672" s="417" t="n"/>
    </row>
    <row r="673" ht="15" customHeight="1" s="210">
      <c r="A673" s="386">
        <f>LEFT(B673, FIND("-", B673) - 1)</f>
        <v/>
      </c>
      <c r="B673" s="386" t="inlineStr">
        <is>
          <t>TRAN-CITATIONCLOSE</t>
        </is>
      </c>
      <c r="C673" s="415" t="inlineStr">
        <is>
          <t>2025</t>
        </is>
      </c>
      <c r="D673" s="416" t="inlineStr">
        <is>
          <t>Officer/Operator Error</t>
        </is>
      </c>
      <c r="E673" s="416" t="n">
        <v>235</v>
      </c>
      <c r="F673" s="416" t="n"/>
      <c r="G673" s="416" t="n"/>
      <c r="H673" s="417" t="n"/>
    </row>
    <row r="674" ht="15" customHeight="1" s="210">
      <c r="A674" s="386">
        <f>LEFT(B674, FIND("-", B674) - 1)</f>
        <v/>
      </c>
      <c r="B674" s="386" t="inlineStr">
        <is>
          <t>TRAN-CITATIONCLOSE</t>
        </is>
      </c>
      <c r="C674" s="415" t="inlineStr">
        <is>
          <t>2025</t>
        </is>
      </c>
      <c r="D674" s="416" t="inlineStr">
        <is>
          <t>Registration</t>
        </is>
      </c>
      <c r="E674" s="416" t="n">
        <v>178</v>
      </c>
      <c r="F674" s="416" t="n"/>
      <c r="G674" s="416" t="n"/>
      <c r="H674" s="417" t="n"/>
    </row>
    <row r="675" ht="15" customHeight="1" s="210">
      <c r="A675" s="386">
        <f>LEFT(B675, FIND("-", B675) - 1)</f>
        <v/>
      </c>
      <c r="B675" s="386" t="inlineStr">
        <is>
          <t>TRAN-CITATIONCLOSE</t>
        </is>
      </c>
      <c r="C675" s="415" t="inlineStr">
        <is>
          <t>2025</t>
        </is>
      </c>
      <c r="D675" s="416" t="inlineStr">
        <is>
          <t>Review Outcome Dismissed</t>
        </is>
      </c>
      <c r="E675" s="416" t="n">
        <v>269</v>
      </c>
      <c r="F675" s="416" t="n"/>
      <c r="G675" s="416" t="n"/>
      <c r="H675" s="417" t="n"/>
    </row>
    <row r="676" ht="15" customHeight="1" s="210">
      <c r="A676" s="386">
        <f>LEFT(B676, FIND("-", B676) - 1)</f>
        <v/>
      </c>
      <c r="B676" s="386" t="inlineStr">
        <is>
          <t>TRAN-CITATIONCLOSE</t>
        </is>
      </c>
      <c r="C676" s="415" t="inlineStr">
        <is>
          <t>2025</t>
        </is>
      </c>
      <c r="D676" s="416" t="inlineStr">
        <is>
          <t>Unable to Locate Owner</t>
        </is>
      </c>
      <c r="E676" s="416" t="n">
        <v>0</v>
      </c>
      <c r="F676" s="416" t="n"/>
      <c r="G676" s="416" t="n"/>
      <c r="H676" s="417" t="n"/>
    </row>
    <row r="677" ht="15" customHeight="1" s="210">
      <c r="A677" s="386">
        <f>LEFT(B677, FIND("-", B677) - 1)</f>
        <v/>
      </c>
      <c r="B677" s="386" t="inlineStr">
        <is>
          <t>TRAN-CITATIONCLOSE</t>
        </is>
      </c>
      <c r="C677" s="415" t="inlineStr">
        <is>
          <t>2025</t>
        </is>
      </c>
      <c r="D677" s="416" t="inlineStr">
        <is>
          <t>Paid Wrong Plate Mobile</t>
        </is>
      </c>
      <c r="E677" s="416" t="n">
        <v>103</v>
      </c>
      <c r="F677" s="416" t="n"/>
      <c r="G677" s="416" t="n"/>
      <c r="H677" s="417" t="n"/>
    </row>
    <row r="678" ht="15" customHeight="1" s="210">
      <c r="A678" s="386">
        <f>LEFT(B678, FIND("-", B678) - 1)</f>
        <v/>
      </c>
      <c r="B678" s="386" t="inlineStr">
        <is>
          <t>TRAN-CITATIONCLOSE</t>
        </is>
      </c>
      <c r="C678" s="415" t="inlineStr">
        <is>
          <t>2018</t>
        </is>
      </c>
      <c r="D678" s="416" t="n"/>
      <c r="E678" s="416">
        <f>SUMIFS($E$589:$E$677,$B$589:$B$677,B678,$C$589:$C$677,C678)</f>
        <v/>
      </c>
      <c r="F678" s="416" t="n"/>
      <c r="G678" s="416" t="n"/>
      <c r="H678" s="417" t="n"/>
    </row>
    <row r="679" ht="15" customHeight="1" s="210">
      <c r="A679" s="386">
        <f>LEFT(B679, FIND("-", B679) - 1)</f>
        <v/>
      </c>
      <c r="B679" s="386" t="inlineStr">
        <is>
          <t>TRAN-CITATIONCLOSE</t>
        </is>
      </c>
      <c r="C679" s="415" t="inlineStr">
        <is>
          <t>2019</t>
        </is>
      </c>
      <c r="D679" s="416" t="n"/>
      <c r="E679" s="416">
        <f>SUMIFS($E$589:$E$677,$B$589:$B$677,B679,$C$589:$C$677,C679)</f>
        <v/>
      </c>
      <c r="F679" s="416" t="n"/>
      <c r="G679" s="416" t="n"/>
      <c r="H679" s="417" t="n"/>
    </row>
    <row r="680" ht="15" customHeight="1" s="210">
      <c r="A680" s="386">
        <f>LEFT(B680, FIND("-", B680) - 1)</f>
        <v/>
      </c>
      <c r="B680" s="386" t="inlineStr">
        <is>
          <t>TRAN-CITATIONCLOSE</t>
        </is>
      </c>
      <c r="C680" s="415" t="inlineStr">
        <is>
          <t>2020</t>
        </is>
      </c>
      <c r="D680" s="416" t="n"/>
      <c r="E680" s="416">
        <f>SUMIFS($E$589:$E$677,$B$589:$B$677,B680,$C$589:$C$677,C680)</f>
        <v/>
      </c>
      <c r="F680" s="416" t="n"/>
      <c r="G680" s="416" t="n"/>
      <c r="H680" s="417" t="n"/>
    </row>
    <row r="681" ht="15" customHeight="1" s="210">
      <c r="A681" s="386">
        <f>LEFT(B681, FIND("-", B681) - 1)</f>
        <v/>
      </c>
      <c r="B681" s="386" t="inlineStr">
        <is>
          <t>TRAN-CITATIONCLOSE</t>
        </is>
      </c>
      <c r="C681" s="415" t="inlineStr">
        <is>
          <t>2021</t>
        </is>
      </c>
      <c r="D681" s="416" t="n"/>
      <c r="E681" s="416">
        <f>SUMIFS($E$589:$E$677,$B$589:$B$677,B681,$C$589:$C$677,C681)</f>
        <v/>
      </c>
      <c r="F681" s="416" t="n"/>
      <c r="G681" s="416" t="n"/>
      <c r="H681" s="417" t="n"/>
    </row>
    <row r="682" ht="15" customHeight="1" s="210">
      <c r="A682" s="386">
        <f>LEFT(B682, FIND("-", B682) - 1)</f>
        <v/>
      </c>
      <c r="B682" s="386" t="inlineStr">
        <is>
          <t>TRAN-CITATIONCLOSE</t>
        </is>
      </c>
      <c r="C682" s="415" t="inlineStr">
        <is>
          <t>2022</t>
        </is>
      </c>
      <c r="D682" s="416" t="n"/>
      <c r="E682" s="416">
        <f>SUMIFS($E$589:$E$677,$B$589:$B$677,B682,$C$589:$C$677,C682)</f>
        <v/>
      </c>
      <c r="F682" s="416" t="n"/>
      <c r="G682" s="416" t="n"/>
      <c r="H682" s="417" t="n"/>
    </row>
    <row r="683" ht="15" customHeight="1" s="210">
      <c r="A683" s="386">
        <f>LEFT(B683, FIND("-", B683) - 1)</f>
        <v/>
      </c>
      <c r="B683" s="386" t="inlineStr">
        <is>
          <t>TRAN-CITATIONCLOSE</t>
        </is>
      </c>
      <c r="C683" s="415" t="inlineStr">
        <is>
          <t>2023</t>
        </is>
      </c>
      <c r="D683" s="416" t="n"/>
      <c r="E683" s="416">
        <f>SUMIFS($E$589:$E$677,$B$589:$B$677,B683,$C$589:$C$677,C683)</f>
        <v/>
      </c>
      <c r="F683" s="416" t="n"/>
      <c r="G683" s="416" t="n"/>
      <c r="H683" s="417" t="n"/>
    </row>
    <row r="684" ht="15" customHeight="1" s="210">
      <c r="A684" s="386">
        <f>LEFT(B684, FIND("-", B684) - 1)</f>
        <v/>
      </c>
      <c r="B684" s="386" t="inlineStr">
        <is>
          <t>TRAN-CITATIONCLOSE</t>
        </is>
      </c>
      <c r="C684" s="415" t="inlineStr">
        <is>
          <t>2024</t>
        </is>
      </c>
      <c r="D684" s="416" t="n"/>
      <c r="E684" s="416">
        <f>SUMIFS($E$589:$E$677,$B$589:$B$677,B684,$C$589:$C$677,C684)</f>
        <v/>
      </c>
      <c r="F684" s="416" t="n"/>
      <c r="G684" s="416" t="n"/>
      <c r="H684" s="417" t="n"/>
    </row>
    <row r="685" ht="15" customHeight="1" s="210">
      <c r="A685" s="386">
        <f>LEFT(B685, FIND("-", B685) - 1)</f>
        <v/>
      </c>
      <c r="B685" s="386" t="inlineStr">
        <is>
          <t>TRAN-CITATIONCLOSE</t>
        </is>
      </c>
      <c r="C685" s="415" t="inlineStr">
        <is>
          <t>2025</t>
        </is>
      </c>
      <c r="D685" s="416" t="n"/>
      <c r="E685" s="416">
        <f>SUMIFS($E$589:$E$677,$B$589:$B$677,B685,$C$589:$C$677,C685)</f>
        <v/>
      </c>
      <c r="F685" s="416" t="n"/>
      <c r="G685" s="416" t="n"/>
      <c r="H685" s="417" t="n"/>
    </row>
    <row r="686" ht="15" customHeight="1" s="210">
      <c r="A686" s="386">
        <f>LEFT(B686, FIND("-", B686) - 1)</f>
        <v/>
      </c>
      <c r="B686" s="386" t="inlineStr">
        <is>
          <t>PR-LNHPASSRET</t>
        </is>
      </c>
      <c r="C686" s="415" t="inlineStr">
        <is>
          <t>2023</t>
        </is>
      </c>
      <c r="D686" s="416" t="n"/>
      <c r="E686" s="416" t="n">
        <v>39</v>
      </c>
      <c r="F686" s="416" t="n"/>
      <c r="G686" s="416" t="n"/>
      <c r="H686" s="417" t="n"/>
    </row>
    <row r="687" ht="15" customHeight="1" s="210">
      <c r="A687" s="386">
        <f>LEFT(B687, FIND("-", B687) - 1)</f>
        <v/>
      </c>
      <c r="B687" s="386" t="inlineStr">
        <is>
          <t>PR-LNHPASSRET</t>
        </is>
      </c>
      <c r="C687" s="415" t="inlineStr">
        <is>
          <t>2024</t>
        </is>
      </c>
      <c r="D687" s="416" t="n"/>
      <c r="E687" s="416" t="n">
        <v>39</v>
      </c>
      <c r="F687" s="416" t="n"/>
      <c r="G687" s="416" t="n"/>
      <c r="H687" s="417" t="n"/>
    </row>
    <row r="688" ht="15" customHeight="1" s="210">
      <c r="A688" s="386">
        <f>LEFT(B688, FIND("-", B688) - 1)</f>
        <v/>
      </c>
      <c r="B688" s="386" t="inlineStr">
        <is>
          <t>PR-LNHPASSRET</t>
        </is>
      </c>
      <c r="C688" s="415" t="inlineStr">
        <is>
          <t>2025</t>
        </is>
      </c>
      <c r="D688" s="416" t="n"/>
      <c r="E688" s="416" t="n">
        <v>24</v>
      </c>
      <c r="F688" s="416" t="n"/>
      <c r="G688" s="416" t="n"/>
      <c r="H688" s="417" t="n"/>
    </row>
    <row r="689" ht="15" customHeight="1" s="210">
      <c r="A689" s="386">
        <f>LEFT(B689, FIND("-", B689) - 1)</f>
        <v/>
      </c>
      <c r="B689" s="386" t="inlineStr">
        <is>
          <t>PR-LNHPASSRET</t>
        </is>
      </c>
      <c r="C689" s="415" t="inlineStr">
        <is>
          <t>2026</t>
        </is>
      </c>
      <c r="D689" s="416" t="n"/>
      <c r="E689" s="416" t="n">
        <v>29</v>
      </c>
      <c r="F689" s="416" t="n"/>
      <c r="G689" s="416" t="n"/>
      <c r="H689" s="417" t="n"/>
    </row>
    <row r="690" ht="15" customHeight="1" s="210">
      <c r="A690" s="386">
        <f>LEFT(B690, FIND("-", B690) - 1)</f>
        <v/>
      </c>
      <c r="B690" s="386" t="inlineStr">
        <is>
          <t>PR-LNHCAPACITY</t>
        </is>
      </c>
      <c r="C690" s="415" t="inlineStr">
        <is>
          <t>2023</t>
        </is>
      </c>
      <c r="D690" s="416" t="n"/>
      <c r="E690" s="416" t="n">
        <v>67</v>
      </c>
      <c r="F690" s="416" t="n"/>
      <c r="G690" s="416" t="n"/>
      <c r="H690" s="417" t="n"/>
    </row>
    <row r="691" ht="15" customHeight="1" s="210">
      <c r="A691" s="386">
        <f>LEFT(B691, FIND("-", B691) - 1)</f>
        <v/>
      </c>
      <c r="B691" s="386" t="inlineStr">
        <is>
          <t>PR-LNHCAPACITY</t>
        </is>
      </c>
      <c r="C691" s="415" t="inlineStr">
        <is>
          <t>2024</t>
        </is>
      </c>
      <c r="D691" s="416" t="n"/>
      <c r="E691" s="416" t="n">
        <v>73</v>
      </c>
      <c r="F691" s="416" t="n"/>
      <c r="G691" s="416" t="n"/>
      <c r="H691" s="417" t="n"/>
    </row>
    <row r="692" ht="15" customHeight="1" s="210">
      <c r="A692" s="386">
        <f>LEFT(B692, FIND("-", B692) - 1)</f>
        <v/>
      </c>
      <c r="B692" s="386" t="inlineStr">
        <is>
          <t>PR-LNHCAPACITY</t>
        </is>
      </c>
      <c r="C692" s="415" t="inlineStr">
        <is>
          <t>2025</t>
        </is>
      </c>
      <c r="D692" s="416" t="n"/>
      <c r="E692" s="416" t="n">
        <v>62</v>
      </c>
      <c r="F692" s="416" t="n"/>
      <c r="G692" s="416" t="n"/>
      <c r="H692" s="417" t="n"/>
    </row>
    <row r="693" ht="15" customHeight="1" s="210">
      <c r="A693" s="386">
        <f>LEFT(B693, FIND("-", B693) - 1)</f>
        <v/>
      </c>
      <c r="B693" s="386" t="inlineStr">
        <is>
          <t>PR-LNHCAPACITY</t>
        </is>
      </c>
      <c r="C693" s="415" t="inlineStr">
        <is>
          <t>2026</t>
        </is>
      </c>
      <c r="D693" s="416" t="n"/>
      <c r="E693" s="416" t="n">
        <v>58</v>
      </c>
      <c r="F693" s="416" t="n"/>
      <c r="G693" s="416" t="n"/>
      <c r="H693" s="417" t="n"/>
    </row>
    <row r="694" ht="15" customHeight="1" s="210">
      <c r="A694" s="386">
        <f>LEFT(B694, FIND("-", B694) - 1)</f>
        <v/>
      </c>
      <c r="B694" s="386" t="inlineStr">
        <is>
          <t>REC-PASSRETRC</t>
        </is>
      </c>
      <c r="C694" s="415" t="inlineStr">
        <is>
          <t>2023</t>
        </is>
      </c>
      <c r="D694" s="416" t="n"/>
      <c r="E694" s="416" t="n">
        <v>27</v>
      </c>
      <c r="F694" s="416" t="n"/>
      <c r="G694" s="416" t="n"/>
      <c r="H694" s="417" t="n"/>
    </row>
    <row r="695" ht="15" customHeight="1" s="210">
      <c r="A695" s="386">
        <f>LEFT(B695, FIND("-", B695) - 1)</f>
        <v/>
      </c>
      <c r="B695" s="386" t="inlineStr">
        <is>
          <t>REC-PASSRETRC</t>
        </is>
      </c>
      <c r="C695" s="415" t="inlineStr">
        <is>
          <t>2024</t>
        </is>
      </c>
      <c r="D695" s="416" t="n"/>
      <c r="E695" s="416" t="n">
        <v>33</v>
      </c>
      <c r="F695" s="416" t="n"/>
      <c r="G695" s="416" t="n"/>
      <c r="H695" s="417" t="n"/>
    </row>
    <row r="696" ht="15" customHeight="1" s="210">
      <c r="A696" s="386">
        <f>LEFT(B696, FIND("-", B696) - 1)</f>
        <v/>
      </c>
      <c r="B696" s="386" t="inlineStr">
        <is>
          <t>REC-PASSRETRC</t>
        </is>
      </c>
      <c r="C696" s="415" t="inlineStr">
        <is>
          <t>2025</t>
        </is>
      </c>
      <c r="D696" s="416" t="n"/>
      <c r="E696" s="416" t="n">
        <v>33</v>
      </c>
      <c r="F696" s="416" t="n"/>
      <c r="G696" s="416" t="n"/>
      <c r="H696" s="417" t="n"/>
    </row>
    <row r="697" ht="15" customHeight="1" s="210">
      <c r="A697" s="386">
        <f>LEFT(B697, FIND("-", B697) - 1)</f>
        <v/>
      </c>
      <c r="B697" s="386" t="inlineStr">
        <is>
          <t>REC-PASSRETRC</t>
        </is>
      </c>
      <c r="C697" s="415" t="inlineStr">
        <is>
          <t>2026</t>
        </is>
      </c>
      <c r="D697" s="416" t="n"/>
      <c r="E697" s="416" t="n">
        <v>39</v>
      </c>
      <c r="F697" s="416" t="n"/>
      <c r="G697" s="416" t="n"/>
      <c r="H697" s="417" t="n"/>
    </row>
    <row r="698" ht="15" customHeight="1" s="210">
      <c r="A698" s="386">
        <f>LEFT(B698, FIND("-", B698) - 1)</f>
        <v/>
      </c>
      <c r="B698" s="386" t="inlineStr">
        <is>
          <t>REC-CAPRC</t>
        </is>
      </c>
      <c r="C698" s="415" t="inlineStr">
        <is>
          <t>2023</t>
        </is>
      </c>
      <c r="D698" s="416" t="n"/>
      <c r="E698" s="416" t="n">
        <v>67</v>
      </c>
      <c r="F698" s="416" t="n"/>
      <c r="G698" s="416" t="n"/>
      <c r="H698" s="417" t="n"/>
    </row>
    <row r="699" ht="15" customHeight="1" s="210">
      <c r="A699" s="386">
        <f>LEFT(B699, FIND("-", B699) - 1)</f>
        <v/>
      </c>
      <c r="B699" s="386" t="inlineStr">
        <is>
          <t>REC-CAPRC</t>
        </is>
      </c>
      <c r="C699" s="415" t="inlineStr">
        <is>
          <t>2024</t>
        </is>
      </c>
      <c r="D699" s="416" t="n"/>
      <c r="E699" s="416" t="n">
        <v>53</v>
      </c>
      <c r="F699" s="416" t="n"/>
      <c r="G699" s="416" t="n"/>
      <c r="H699" s="417" t="n"/>
    </row>
    <row r="700" ht="15" customHeight="1" s="210">
      <c r="A700" s="386">
        <f>LEFT(B700, FIND("-", B700) - 1)</f>
        <v/>
      </c>
      <c r="B700" s="386" t="inlineStr">
        <is>
          <t>REC-CAPRC</t>
        </is>
      </c>
      <c r="C700" s="415" t="inlineStr">
        <is>
          <t>2025</t>
        </is>
      </c>
      <c r="D700" s="416" t="n"/>
      <c r="E700" s="416" t="n">
        <v>52</v>
      </c>
      <c r="F700" s="416" t="n"/>
      <c r="G700" s="416" t="n"/>
      <c r="H700" s="417" t="n"/>
    </row>
    <row r="701" ht="15" customHeight="1" s="210">
      <c r="A701" s="386">
        <f>LEFT(B701, FIND("-", B701) - 1)</f>
        <v/>
      </c>
      <c r="B701" s="386" t="inlineStr">
        <is>
          <t>REC-CAPRC</t>
        </is>
      </c>
      <c r="C701" s="415" t="inlineStr">
        <is>
          <t>2026</t>
        </is>
      </c>
      <c r="D701" s="416" t="n"/>
      <c r="E701" s="416" t="n">
        <v>56</v>
      </c>
      <c r="F701" s="416" t="n"/>
      <c r="G701" s="416" t="n"/>
      <c r="H701" s="417" t="n"/>
    </row>
    <row r="702" ht="15" customHeight="1" s="210">
      <c r="A702" s="386">
        <f>LEFT(B702, FIND("-", B702) - 1)</f>
        <v/>
      </c>
      <c r="B702" s="386" t="inlineStr">
        <is>
          <t>REC-CAPYOUTH</t>
        </is>
      </c>
      <c r="C702" s="415" t="inlineStr">
        <is>
          <t>2023</t>
        </is>
      </c>
      <c r="D702" s="416" t="n"/>
      <c r="E702" s="416" t="n">
        <v>62</v>
      </c>
      <c r="F702" s="416" t="n"/>
      <c r="G702" s="416" t="n"/>
      <c r="H702" s="417" t="n"/>
    </row>
    <row r="703" ht="15" customHeight="1" s="210">
      <c r="A703" s="386">
        <f>LEFT(B703, FIND("-", B703) - 1)</f>
        <v/>
      </c>
      <c r="B703" s="386" t="inlineStr">
        <is>
          <t>REC-CAPYOUTH</t>
        </is>
      </c>
      <c r="C703" s="415" t="inlineStr">
        <is>
          <t>2024</t>
        </is>
      </c>
      <c r="D703" s="416" t="n"/>
      <c r="E703" s="416" t="n">
        <v>51</v>
      </c>
      <c r="F703" s="416" t="n"/>
      <c r="G703" s="416" t="n"/>
      <c r="H703" s="417" t="n"/>
    </row>
    <row r="704" ht="15" customHeight="1" s="210">
      <c r="A704" s="386">
        <f>LEFT(B704, FIND("-", B704) - 1)</f>
        <v/>
      </c>
      <c r="B704" s="386" t="inlineStr">
        <is>
          <t>REC-CAPYOUTH</t>
        </is>
      </c>
      <c r="C704" s="415" t="inlineStr">
        <is>
          <t>2025</t>
        </is>
      </c>
      <c r="D704" s="416" t="n"/>
      <c r="E704" s="416" t="n">
        <v>51</v>
      </c>
      <c r="F704" s="416" t="n"/>
      <c r="G704" s="416" t="n"/>
      <c r="H704" s="417" t="n"/>
    </row>
    <row r="705" ht="15" customHeight="1" s="210">
      <c r="A705" s="386">
        <f>LEFT(B705, FIND("-", B705) - 1)</f>
        <v/>
      </c>
      <c r="B705" s="386" t="inlineStr">
        <is>
          <t>REC-CAPYOUTH</t>
        </is>
      </c>
      <c r="C705" s="415" t="inlineStr">
        <is>
          <t>2026</t>
        </is>
      </c>
      <c r="D705" s="416" t="n"/>
      <c r="E705" s="416" t="n">
        <v>45</v>
      </c>
      <c r="F705" s="416" t="n"/>
      <c r="G705" s="416" t="n"/>
      <c r="H705" s="417" t="n"/>
    </row>
    <row r="706" ht="15" customHeight="1" s="210">
      <c r="A706" s="386">
        <f>LEFT(B706, FIND("-", B706) - 1)</f>
        <v/>
      </c>
      <c r="B706" s="386" t="inlineStr">
        <is>
          <t>REC-CAPADULT</t>
        </is>
      </c>
      <c r="C706" s="415" t="inlineStr">
        <is>
          <t>2023</t>
        </is>
      </c>
      <c r="D706" s="416" t="n"/>
      <c r="E706" s="416" t="n">
        <v>68</v>
      </c>
      <c r="F706" s="416" t="n"/>
      <c r="G706" s="416" t="n"/>
      <c r="H706" s="417" t="n"/>
    </row>
    <row r="707" ht="15" customHeight="1" s="210">
      <c r="A707" s="386">
        <f>LEFT(B707, FIND("-", B707) - 1)</f>
        <v/>
      </c>
      <c r="B707" s="386" t="inlineStr">
        <is>
          <t>REC-CAPADULT</t>
        </is>
      </c>
      <c r="C707" s="415" t="inlineStr">
        <is>
          <t>2024</t>
        </is>
      </c>
      <c r="D707" s="416" t="n"/>
      <c r="E707" s="416" t="n">
        <v>49</v>
      </c>
      <c r="F707" s="416" t="n"/>
      <c r="G707" s="416" t="n"/>
      <c r="H707" s="417" t="n"/>
    </row>
    <row r="708" ht="15" customHeight="1" s="210">
      <c r="A708" s="386">
        <f>LEFT(B708, FIND("-", B708) - 1)</f>
        <v/>
      </c>
      <c r="B708" s="386" t="inlineStr">
        <is>
          <t>REC-CAPADULT</t>
        </is>
      </c>
      <c r="C708" s="415" t="inlineStr">
        <is>
          <t>2025</t>
        </is>
      </c>
      <c r="D708" s="416" t="n"/>
      <c r="E708" s="416" t="n">
        <v>60</v>
      </c>
      <c r="F708" s="416" t="n"/>
      <c r="G708" s="416" t="n"/>
      <c r="H708" s="417" t="n"/>
    </row>
    <row r="709" ht="15" customHeight="1" s="210">
      <c r="A709" s="386">
        <f>LEFT(B709, FIND("-", B709) - 1)</f>
        <v/>
      </c>
      <c r="B709" s="386" t="inlineStr">
        <is>
          <t>REC-CAPADULT</t>
        </is>
      </c>
      <c r="C709" s="415" t="inlineStr">
        <is>
          <t>2026</t>
        </is>
      </c>
      <c r="D709" s="416" t="n"/>
      <c r="E709" s="416" t="n">
        <v>53</v>
      </c>
      <c r="F709" s="416" t="n"/>
      <c r="G709" s="416" t="n"/>
      <c r="H709" s="417" t="n"/>
    </row>
    <row r="710" ht="15" customHeight="1" s="210">
      <c r="A710" s="386">
        <f>LEFT(B710, FIND("-", B710) - 1)</f>
        <v/>
      </c>
      <c r="B710" s="386" t="inlineStr">
        <is>
          <t>REC-PASSRETCH</t>
        </is>
      </c>
      <c r="C710" s="415" t="inlineStr">
        <is>
          <t>2023</t>
        </is>
      </c>
      <c r="D710" s="416" t="n"/>
      <c r="E710" s="416" t="n">
        <v>33</v>
      </c>
      <c r="F710" s="416" t="n"/>
      <c r="G710" s="416" t="n"/>
      <c r="H710" s="417" t="n"/>
    </row>
    <row r="711" ht="15" customHeight="1" s="210">
      <c r="A711" s="386">
        <f>LEFT(B711, FIND("-", B711) - 1)</f>
        <v/>
      </c>
      <c r="B711" s="386" t="inlineStr">
        <is>
          <t>REC-PASSRETCH</t>
        </is>
      </c>
      <c r="C711" s="415" t="inlineStr">
        <is>
          <t>2024</t>
        </is>
      </c>
      <c r="D711" s="416" t="n"/>
      <c r="E711" s="416" t="n">
        <v>28</v>
      </c>
      <c r="F711" s="416" t="n"/>
      <c r="G711" s="416" t="n"/>
      <c r="H711" s="417" t="n"/>
    </row>
    <row r="712" ht="15" customHeight="1" s="210">
      <c r="A712" s="386">
        <f>LEFT(B712, FIND("-", B712) - 1)</f>
        <v/>
      </c>
      <c r="B712" s="386" t="inlineStr">
        <is>
          <t>REC-PASSRETCH</t>
        </is>
      </c>
      <c r="C712" s="415" t="inlineStr">
        <is>
          <t>2025</t>
        </is>
      </c>
      <c r="D712" s="416" t="n"/>
      <c r="E712" s="416" t="n">
        <v>33</v>
      </c>
      <c r="F712" s="416" t="n"/>
      <c r="G712" s="416" t="n"/>
      <c r="H712" s="417" t="n"/>
    </row>
    <row r="713" ht="15" customHeight="1" s="210">
      <c r="A713" s="386">
        <f>LEFT(B713, FIND("-", B713) - 1)</f>
        <v/>
      </c>
      <c r="B713" s="386" t="inlineStr">
        <is>
          <t>REC-PASSRETCH</t>
        </is>
      </c>
      <c r="C713" s="415" t="inlineStr">
        <is>
          <t>2026</t>
        </is>
      </c>
      <c r="D713" s="416" t="n"/>
      <c r="E713" s="416" t="n">
        <v>23</v>
      </c>
      <c r="F713" s="416" t="n"/>
      <c r="G713" s="416" t="n"/>
      <c r="H713" s="417" t="n"/>
    </row>
    <row r="714" ht="15" customHeight="1" s="210">
      <c r="A714" s="386">
        <f>LEFT(B714, FIND("-", B714) - 1)</f>
        <v/>
      </c>
      <c r="B714" s="386" t="inlineStr">
        <is>
          <t>REC-CAPCH</t>
        </is>
      </c>
      <c r="C714" s="415" t="inlineStr">
        <is>
          <t>2023</t>
        </is>
      </c>
      <c r="D714" s="416" t="n"/>
      <c r="E714" s="416" t="n">
        <v>48</v>
      </c>
      <c r="F714" s="416" t="n"/>
      <c r="G714" s="416" t="n"/>
      <c r="H714" s="417" t="n"/>
    </row>
    <row r="715" ht="15" customHeight="1" s="210">
      <c r="A715" s="386">
        <f>LEFT(B715, FIND("-", B715) - 1)</f>
        <v/>
      </c>
      <c r="B715" s="386" t="inlineStr">
        <is>
          <t>REC-CAPCH</t>
        </is>
      </c>
      <c r="C715" s="415" t="inlineStr">
        <is>
          <t>2024</t>
        </is>
      </c>
      <c r="D715" s="416" t="n"/>
      <c r="E715" s="416" t="n">
        <v>38</v>
      </c>
      <c r="F715" s="416" t="n"/>
      <c r="G715" s="416" t="n"/>
      <c r="H715" s="417" t="n"/>
    </row>
    <row r="716" ht="15" customHeight="1" s="210">
      <c r="A716" s="386">
        <f>LEFT(B716, FIND("-", B716) - 1)</f>
        <v/>
      </c>
      <c r="B716" s="386" t="inlineStr">
        <is>
          <t>REC-CAPCH</t>
        </is>
      </c>
      <c r="C716" s="415" t="inlineStr">
        <is>
          <t>2025</t>
        </is>
      </c>
      <c r="D716" s="416" t="n"/>
      <c r="E716" s="416" t="n">
        <v>51</v>
      </c>
      <c r="F716" s="416" t="n"/>
      <c r="G716" s="416" t="n"/>
      <c r="H716" s="417" t="n"/>
    </row>
    <row r="717" ht="15" customHeight="1" s="210">
      <c r="A717" s="386">
        <f>LEFT(B717, FIND("-", B717) - 1)</f>
        <v/>
      </c>
      <c r="B717" s="386" t="inlineStr">
        <is>
          <t>REC-CAPCH</t>
        </is>
      </c>
      <c r="C717" s="415" t="inlineStr">
        <is>
          <t>2026</t>
        </is>
      </c>
      <c r="D717" s="416" t="n"/>
      <c r="E717" s="416" t="n">
        <v>40</v>
      </c>
      <c r="F717" s="416" t="n"/>
      <c r="G717" s="416" t="n"/>
      <c r="H717" s="417" t="n"/>
    </row>
    <row r="718" ht="15" customHeight="1" s="210">
      <c r="A718" s="386">
        <f>LEFT(B718, FIND("-", B718) - 1)</f>
        <v/>
      </c>
      <c r="B718" s="386" t="inlineStr">
        <is>
          <t>REC-CAPGYM</t>
        </is>
      </c>
      <c r="C718" s="415" t="inlineStr">
        <is>
          <t>2023</t>
        </is>
      </c>
      <c r="D718" s="416" t="n"/>
      <c r="E718" s="416" t="n">
        <v>18</v>
      </c>
      <c r="F718" s="416" t="n"/>
      <c r="G718" s="416" t="n"/>
      <c r="H718" s="417" t="n"/>
    </row>
    <row r="719" ht="15" customHeight="1" s="210">
      <c r="A719" s="386">
        <f>LEFT(B719, FIND("-", B719) - 1)</f>
        <v/>
      </c>
      <c r="B719" s="386" t="inlineStr">
        <is>
          <t>REC-CAPGYM</t>
        </is>
      </c>
      <c r="C719" s="415" t="inlineStr">
        <is>
          <t>2024</t>
        </is>
      </c>
      <c r="D719" s="416" t="n"/>
      <c r="E719" s="416" t="n">
        <v>20</v>
      </c>
      <c r="F719" s="416" t="n"/>
      <c r="G719" s="416" t="n"/>
      <c r="H719" s="417" t="n"/>
    </row>
    <row r="720" ht="15" customHeight="1" s="210">
      <c r="A720" s="386">
        <f>LEFT(B720, FIND("-", B720) - 1)</f>
        <v/>
      </c>
      <c r="B720" s="386" t="inlineStr">
        <is>
          <t>REC-CAPGYM</t>
        </is>
      </c>
      <c r="C720" s="415" t="inlineStr">
        <is>
          <t>2025</t>
        </is>
      </c>
      <c r="D720" s="416" t="n"/>
      <c r="E720" s="416" t="n">
        <v>30</v>
      </c>
      <c r="F720" s="416" t="n"/>
      <c r="G720" s="416" t="n"/>
      <c r="H720" s="417" t="n"/>
    </row>
    <row r="721" ht="15" customHeight="1" s="210">
      <c r="A721" s="386">
        <f>LEFT(B721, FIND("-", B721) - 1)</f>
        <v/>
      </c>
      <c r="B721" s="386" t="inlineStr">
        <is>
          <t>REC-CAPGYM</t>
        </is>
      </c>
      <c r="C721" s="415" t="inlineStr">
        <is>
          <t>2026</t>
        </is>
      </c>
      <c r="D721" s="416" t="n"/>
      <c r="E721" s="416" t="n">
        <v>44</v>
      </c>
      <c r="F721" s="416" t="n"/>
      <c r="G721" s="416" t="n"/>
      <c r="H721" s="417" t="n"/>
    </row>
    <row r="722" ht="15" customHeight="1" s="210">
      <c r="B722" s="419" t="n"/>
      <c r="C722" s="415" t="n"/>
      <c r="D722" s="416" t="n"/>
      <c r="E722" s="416" t="n"/>
      <c r="F722" s="416" t="n"/>
      <c r="G722" s="416" t="n"/>
      <c r="H722" s="417" t="n"/>
    </row>
    <row r="723" ht="15" customHeight="1" s="210">
      <c r="B723" s="419" t="n"/>
      <c r="C723" s="415" t="n"/>
      <c r="D723" s="416" t="n"/>
      <c r="E723" s="416" t="n"/>
      <c r="F723" s="416" t="n"/>
      <c r="G723" s="416" t="n"/>
      <c r="H723" s="417" t="n"/>
    </row>
    <row r="724" ht="15" customHeight="1" s="210">
      <c r="B724" s="419" t="n"/>
      <c r="C724" s="415" t="n"/>
      <c r="D724" s="416" t="n"/>
      <c r="E724" s="416" t="n"/>
      <c r="F724" s="416" t="n"/>
      <c r="G724" s="416" t="n"/>
      <c r="H724" s="417" t="n"/>
    </row>
    <row r="725" ht="15" customHeight="1" s="210">
      <c r="B725" s="419" t="n"/>
      <c r="C725" s="415" t="n"/>
      <c r="D725" s="416" t="n"/>
      <c r="E725" s="416" t="n"/>
      <c r="F725" s="416" t="n"/>
      <c r="G725" s="416" t="n"/>
      <c r="H725" s="417" t="n"/>
    </row>
    <row r="726" ht="15" customHeight="1" s="210">
      <c r="B726" s="419" t="n"/>
      <c r="C726" s="415" t="n"/>
      <c r="D726" s="416" t="n"/>
      <c r="E726" s="416" t="n"/>
      <c r="F726" s="416" t="n"/>
      <c r="G726" s="416" t="n"/>
      <c r="H726" s="417" t="n"/>
    </row>
    <row r="727" ht="15" customHeight="1" s="210">
      <c r="B727" s="419" t="n"/>
      <c r="C727" s="415" t="n"/>
      <c r="D727" s="416" t="n"/>
      <c r="E727" s="416" t="n"/>
      <c r="F727" s="416" t="n"/>
      <c r="G727" s="416" t="n"/>
      <c r="H727" s="417" t="n"/>
    </row>
    <row r="728" ht="15" customHeight="1" s="210">
      <c r="B728" s="419" t="n"/>
      <c r="C728" s="415" t="n"/>
      <c r="D728" s="416" t="n"/>
      <c r="E728" s="416" t="n"/>
      <c r="F728" s="416" t="n"/>
      <c r="G728" s="416" t="n"/>
      <c r="H728" s="417" t="n"/>
    </row>
    <row r="729" ht="15" customHeight="1" s="210">
      <c r="B729" s="419" t="n"/>
      <c r="C729" s="415" t="n"/>
      <c r="D729" s="416" t="n"/>
      <c r="E729" s="416" t="n"/>
      <c r="F729" s="416" t="n"/>
      <c r="G729" s="416" t="n"/>
      <c r="H729" s="417" t="n"/>
    </row>
    <row r="730" ht="15" customHeight="1" s="210">
      <c r="B730" s="419" t="n"/>
      <c r="C730" s="415" t="n"/>
      <c r="D730" s="416" t="n"/>
      <c r="E730" s="416" t="n"/>
      <c r="F730" s="416" t="n"/>
      <c r="G730" s="416" t="n"/>
      <c r="H730" s="417" t="n"/>
    </row>
    <row r="731" ht="15" customHeight="1" s="210">
      <c r="B731" s="419" t="n"/>
      <c r="C731" s="415" t="n"/>
      <c r="D731" s="416" t="n"/>
      <c r="E731" s="416" t="n"/>
      <c r="F731" s="416" t="n"/>
      <c r="G731" s="416" t="n"/>
      <c r="H731" s="417" t="n"/>
    </row>
    <row r="732" ht="15" customHeight="1" s="210">
      <c r="B732" s="419" t="n"/>
      <c r="C732" s="415" t="n"/>
      <c r="D732" s="416" t="n"/>
      <c r="E732" s="416" t="n"/>
      <c r="F732" s="416" t="n"/>
      <c r="G732" s="416" t="n"/>
      <c r="H732" s="417" t="n"/>
    </row>
    <row r="733" ht="15" customHeight="1" s="210">
      <c r="B733" s="419" t="n"/>
      <c r="C733" s="415" t="n"/>
      <c r="D733" s="416" t="n"/>
      <c r="E733" s="416" t="n"/>
      <c r="F733" s="416" t="n"/>
      <c r="G733" s="416" t="n"/>
      <c r="H733" s="417" t="n"/>
    </row>
    <row r="734" ht="15" customHeight="1" s="210">
      <c r="B734" s="419" t="n"/>
      <c r="C734" s="415" t="n"/>
      <c r="D734" s="416" t="n"/>
      <c r="E734" s="416" t="n"/>
      <c r="F734" s="416" t="n"/>
      <c r="G734" s="416" t="n"/>
      <c r="H734" s="417" t="n"/>
    </row>
    <row r="735" ht="15" customHeight="1" s="210">
      <c r="B735" s="419" t="n"/>
      <c r="C735" s="415" t="n"/>
      <c r="D735" s="416" t="n"/>
      <c r="E735" s="416" t="n"/>
      <c r="F735" s="416" t="n"/>
      <c r="G735" s="416" t="n"/>
      <c r="H735" s="417" t="n"/>
    </row>
    <row r="736" ht="15" customHeight="1" s="210">
      <c r="B736" s="419" t="n"/>
      <c r="C736" s="415" t="n"/>
      <c r="D736" s="416" t="n"/>
      <c r="E736" s="416" t="n"/>
      <c r="F736" s="416" t="n"/>
      <c r="G736" s="416" t="n"/>
      <c r="H736" s="417" t="n"/>
    </row>
    <row r="737" ht="15" customHeight="1" s="210">
      <c r="B737" s="419" t="n"/>
      <c r="C737" s="415" t="n"/>
      <c r="D737" s="416" t="n"/>
      <c r="E737" s="416" t="n"/>
      <c r="F737" s="416" t="n"/>
      <c r="G737" s="416" t="n"/>
      <c r="H737" s="417" t="n"/>
    </row>
    <row r="738" ht="15" customHeight="1" s="210">
      <c r="B738" s="419" t="n"/>
      <c r="C738" s="415" t="n"/>
      <c r="D738" s="416" t="n"/>
      <c r="E738" s="416" t="n"/>
      <c r="F738" s="416" t="n"/>
      <c r="G738" s="416" t="n"/>
      <c r="H738" s="417" t="n"/>
    </row>
    <row r="739" ht="15" customHeight="1" s="210">
      <c r="B739" s="419" t="n"/>
      <c r="C739" s="415" t="n"/>
      <c r="D739" s="416" t="n"/>
      <c r="E739" s="416" t="n"/>
      <c r="F739" s="416" t="n"/>
      <c r="G739" s="416" t="n"/>
      <c r="H739" s="417" t="n"/>
    </row>
    <row r="740" ht="15" customHeight="1" s="210">
      <c r="B740" s="419" t="n"/>
      <c r="C740" s="415" t="n"/>
      <c r="D740" s="416" t="n"/>
      <c r="E740" s="416" t="n"/>
      <c r="F740" s="416" t="n"/>
      <c r="G740" s="416" t="n"/>
      <c r="H740" s="417" t="n"/>
    </row>
    <row r="741" ht="15" customHeight="1" s="210">
      <c r="B741" s="419" t="n"/>
      <c r="C741" s="415" t="n"/>
      <c r="D741" s="416" t="n"/>
      <c r="E741" s="416" t="n"/>
      <c r="F741" s="416" t="n"/>
      <c r="G741" s="416" t="n"/>
      <c r="H741" s="417" t="n"/>
    </row>
    <row r="742" ht="15" customHeight="1" s="210">
      <c r="B742" s="419" t="n"/>
      <c r="C742" s="415" t="n"/>
      <c r="D742" s="416" t="n"/>
      <c r="E742" s="416" t="n"/>
      <c r="F742" s="416" t="n"/>
      <c r="G742" s="416" t="n"/>
      <c r="H742" s="417" t="n"/>
    </row>
    <row r="743" ht="15" customHeight="1" s="210">
      <c r="B743" s="419" t="n"/>
      <c r="C743" s="415" t="n"/>
      <c r="D743" s="416" t="n"/>
      <c r="E743" s="416" t="n"/>
      <c r="F743" s="416" t="n"/>
      <c r="G743" s="416" t="n"/>
      <c r="H743" s="417" t="n"/>
    </row>
    <row r="744" ht="15" customHeight="1" s="210">
      <c r="B744" s="419" t="n"/>
      <c r="C744" s="415" t="n"/>
      <c r="D744" s="416" t="n"/>
      <c r="E744" s="416" t="n"/>
      <c r="F744" s="416" t="n"/>
      <c r="G744" s="416" t="n"/>
      <c r="H744" s="417" t="n"/>
    </row>
    <row r="745" ht="15" customHeight="1" s="210">
      <c r="B745" s="419" t="n"/>
      <c r="C745" s="415" t="n"/>
      <c r="D745" s="416" t="n"/>
      <c r="E745" s="416" t="n"/>
      <c r="F745" s="416" t="n"/>
      <c r="G745" s="416" t="n"/>
      <c r="H745" s="417" t="n"/>
    </row>
    <row r="746" ht="15" customHeight="1" s="210">
      <c r="B746" s="419" t="n"/>
      <c r="C746" s="415" t="n"/>
      <c r="D746" s="416" t="n"/>
      <c r="E746" s="416" t="n"/>
      <c r="F746" s="416" t="n"/>
      <c r="G746" s="416" t="n"/>
      <c r="H746" s="417" t="n"/>
    </row>
    <row r="747" ht="15" customHeight="1" s="210">
      <c r="B747" s="419" t="n"/>
      <c r="C747" s="415" t="n"/>
      <c r="D747" s="416" t="n"/>
      <c r="E747" s="416" t="n"/>
      <c r="F747" s="416" t="n"/>
      <c r="G747" s="416" t="n"/>
      <c r="H747" s="417" t="n"/>
    </row>
    <row r="748" ht="15" customHeight="1" s="210">
      <c r="B748" s="419" t="n"/>
      <c r="C748" s="415" t="n"/>
      <c r="D748" s="416" t="n"/>
      <c r="E748" s="416" t="n"/>
      <c r="F748" s="416" t="n"/>
      <c r="G748" s="416" t="n"/>
      <c r="H748" s="417" t="n"/>
    </row>
    <row r="749" ht="15" customHeight="1" s="210">
      <c r="B749" s="419" t="n"/>
      <c r="C749" s="415" t="n"/>
      <c r="D749" s="416" t="n"/>
      <c r="E749" s="416" t="n"/>
      <c r="F749" s="416" t="n"/>
      <c r="G749" s="416" t="n"/>
      <c r="H749" s="417" t="n"/>
    </row>
    <row r="750" ht="15" customHeight="1" s="210">
      <c r="B750" s="419" t="n"/>
      <c r="C750" s="415" t="n"/>
      <c r="D750" s="416" t="n"/>
      <c r="E750" s="416" t="n"/>
      <c r="F750" s="416" t="n"/>
      <c r="G750" s="416" t="n"/>
      <c r="H750" s="417" t="n"/>
    </row>
    <row r="751" ht="15" customHeight="1" s="210">
      <c r="B751" s="419" t="n"/>
      <c r="C751" s="415" t="n"/>
      <c r="D751" s="416" t="n"/>
      <c r="E751" s="416" t="n"/>
      <c r="F751" s="416" t="n"/>
      <c r="G751" s="416" t="n"/>
      <c r="H751" s="417" t="n"/>
    </row>
    <row r="752" ht="15" customHeight="1" s="210">
      <c r="B752" s="419" t="n"/>
      <c r="C752" s="415" t="n"/>
      <c r="D752" s="416" t="n"/>
      <c r="E752" s="416" t="n"/>
      <c r="F752" s="416" t="n"/>
      <c r="G752" s="416" t="n"/>
      <c r="H752" s="417" t="n"/>
    </row>
    <row r="753" ht="15" customHeight="1" s="210">
      <c r="B753" s="419" t="n"/>
      <c r="C753" s="415" t="n"/>
      <c r="D753" s="416" t="n"/>
      <c r="E753" s="416" t="n"/>
      <c r="F753" s="416" t="n"/>
      <c r="G753" s="416" t="n"/>
      <c r="H753" s="417" t="n"/>
    </row>
    <row r="754" ht="15" customHeight="1" s="210">
      <c r="B754" s="419" t="n"/>
      <c r="C754" s="415" t="n"/>
      <c r="D754" s="416" t="n"/>
      <c r="E754" s="416" t="n"/>
      <c r="F754" s="416" t="n"/>
      <c r="G754" s="416" t="n"/>
      <c r="H754" s="417" t="n"/>
    </row>
    <row r="755" ht="15" customHeight="1" s="210">
      <c r="B755" s="419" t="n"/>
      <c r="C755" s="415" t="n"/>
      <c r="D755" s="416" t="n"/>
      <c r="E755" s="416" t="n"/>
      <c r="F755" s="416" t="n"/>
      <c r="G755" s="416" t="n"/>
      <c r="H755" s="417" t="n"/>
    </row>
    <row r="756" ht="15" customHeight="1" s="210">
      <c r="B756" s="419" t="n"/>
      <c r="C756" s="415" t="n"/>
      <c r="D756" s="416" t="n"/>
      <c r="E756" s="416" t="n"/>
      <c r="F756" s="416" t="n"/>
      <c r="G756" s="416" t="n"/>
      <c r="H756" s="417" t="n"/>
    </row>
    <row r="757" ht="15" customHeight="1" s="210">
      <c r="B757" s="419" t="n"/>
      <c r="C757" s="415" t="n"/>
      <c r="D757" s="416" t="n"/>
      <c r="E757" s="416" t="n"/>
      <c r="F757" s="416" t="n"/>
      <c r="G757" s="416" t="n"/>
      <c r="H757" s="417" t="n"/>
    </row>
    <row r="758" ht="15" customHeight="1" s="210">
      <c r="B758" s="419" t="n"/>
      <c r="C758" s="415" t="n"/>
      <c r="D758" s="416" t="n"/>
      <c r="E758" s="416" t="n"/>
      <c r="F758" s="416" t="n"/>
      <c r="G758" s="416" t="n"/>
      <c r="H758" s="417" t="n"/>
    </row>
    <row r="759" ht="15" customHeight="1" s="210">
      <c r="B759" s="419" t="n"/>
      <c r="C759" s="415" t="n"/>
      <c r="D759" s="416" t="n"/>
      <c r="E759" s="416" t="n"/>
      <c r="F759" s="416" t="n"/>
      <c r="G759" s="416" t="n"/>
      <c r="H759" s="417" t="n"/>
    </row>
    <row r="760" ht="15" customHeight="1" s="210">
      <c r="B760" s="419" t="n"/>
      <c r="C760" s="415" t="n"/>
      <c r="D760" s="416" t="n"/>
      <c r="E760" s="416" t="n"/>
      <c r="F760" s="416" t="n"/>
      <c r="G760" s="416" t="n"/>
      <c r="H760" s="417" t="n"/>
    </row>
    <row r="761" ht="15" customHeight="1" s="210">
      <c r="B761" s="419" t="n"/>
      <c r="C761" s="415" t="n"/>
      <c r="D761" s="416" t="n"/>
      <c r="E761" s="416" t="n"/>
      <c r="F761" s="416" t="n"/>
      <c r="G761" s="416" t="n"/>
      <c r="H761" s="417" t="n"/>
    </row>
    <row r="762" ht="15" customHeight="1" s="210">
      <c r="B762" s="419" t="n"/>
      <c r="C762" s="415" t="n"/>
      <c r="D762" s="416" t="n"/>
      <c r="E762" s="416" t="n"/>
      <c r="F762" s="416" t="n"/>
      <c r="G762" s="416" t="n"/>
      <c r="H762" s="417" t="n"/>
    </row>
    <row r="763" ht="15" customHeight="1" s="210">
      <c r="B763" s="419" t="n"/>
      <c r="C763" s="415" t="n"/>
      <c r="D763" s="416" t="n"/>
      <c r="E763" s="416" t="n"/>
      <c r="F763" s="416" t="n"/>
      <c r="G763" s="416" t="n"/>
      <c r="H763" s="417" t="n"/>
    </row>
    <row r="764" ht="15" customHeight="1" s="210">
      <c r="B764" s="419" t="n"/>
      <c r="C764" s="415" t="n"/>
      <c r="D764" s="416" t="n"/>
      <c r="E764" s="416" t="n"/>
      <c r="F764" s="416" t="n"/>
      <c r="G764" s="416" t="n"/>
      <c r="H764" s="417" t="n"/>
    </row>
    <row r="765" ht="15" customHeight="1" s="210">
      <c r="B765" s="419" t="n"/>
      <c r="C765" s="415" t="n"/>
      <c r="D765" s="416" t="n"/>
      <c r="E765" s="416" t="n"/>
      <c r="F765" s="416" t="n"/>
      <c r="G765" s="416" t="n"/>
      <c r="H765" s="417" t="n"/>
    </row>
    <row r="766" ht="15" customHeight="1" s="210">
      <c r="B766" s="419" t="n"/>
      <c r="C766" s="415" t="n"/>
      <c r="D766" s="416" t="n"/>
      <c r="E766" s="416" t="n"/>
      <c r="F766" s="416" t="n"/>
      <c r="G766" s="416" t="n"/>
      <c r="H766" s="417" t="n"/>
    </row>
    <row r="767" ht="15" customHeight="1" s="210">
      <c r="B767" s="419" t="n"/>
      <c r="C767" s="415" t="n"/>
      <c r="D767" s="416" t="n"/>
      <c r="E767" s="416" t="n"/>
      <c r="F767" s="416" t="n"/>
      <c r="G767" s="416" t="n"/>
      <c r="H767" s="417" t="n"/>
    </row>
    <row r="768" ht="15" customHeight="1" s="210">
      <c r="B768" s="419" t="n"/>
      <c r="C768" s="415" t="n"/>
      <c r="D768" s="416" t="n"/>
      <c r="E768" s="416" t="n"/>
      <c r="F768" s="416" t="n"/>
      <c r="G768" s="416" t="n"/>
      <c r="H768" s="417" t="n"/>
    </row>
    <row r="769" ht="15" customHeight="1" s="210">
      <c r="B769" s="419" t="n"/>
      <c r="C769" s="415" t="n"/>
      <c r="D769" s="416" t="n"/>
      <c r="E769" s="416" t="n"/>
      <c r="F769" s="416" t="n"/>
      <c r="G769" s="416" t="n"/>
      <c r="H769" s="417" t="n"/>
    </row>
    <row r="770" ht="15" customHeight="1" s="210">
      <c r="B770" s="419" t="n"/>
      <c r="C770" s="415" t="n"/>
      <c r="D770" s="416" t="n"/>
      <c r="E770" s="416" t="n"/>
      <c r="F770" s="416" t="n"/>
      <c r="G770" s="416" t="n"/>
      <c r="H770" s="417" t="n"/>
    </row>
    <row r="771" ht="15" customHeight="1" s="210">
      <c r="B771" s="419" t="n"/>
      <c r="C771" s="415" t="n"/>
      <c r="D771" s="416" t="n"/>
      <c r="E771" s="416" t="n"/>
      <c r="F771" s="416" t="n"/>
      <c r="G771" s="416" t="n"/>
      <c r="H771" s="417" t="n"/>
    </row>
    <row r="772" ht="15" customHeight="1" s="210">
      <c r="B772" s="419" t="n"/>
      <c r="C772" s="415" t="n"/>
      <c r="D772" s="416" t="n"/>
      <c r="E772" s="416" t="n"/>
      <c r="F772" s="416" t="n"/>
      <c r="G772" s="416" t="n"/>
      <c r="H772" s="417" t="n"/>
    </row>
    <row r="773" ht="15" customHeight="1" s="210">
      <c r="B773" s="419" t="n"/>
      <c r="C773" s="415" t="n"/>
      <c r="D773" s="416" t="n"/>
      <c r="E773" s="416" t="n"/>
      <c r="F773" s="416" t="n"/>
      <c r="G773" s="416" t="n"/>
      <c r="H773" s="417" t="n"/>
    </row>
    <row r="774" ht="15" customHeight="1" s="210">
      <c r="B774" s="419" t="n"/>
      <c r="C774" s="415" t="n"/>
      <c r="D774" s="416" t="n"/>
      <c r="E774" s="416" t="n"/>
      <c r="F774" s="416" t="n"/>
      <c r="G774" s="416" t="n"/>
      <c r="H774" s="417" t="n"/>
    </row>
    <row r="775" ht="15" customHeight="1" s="210">
      <c r="B775" s="419" t="n"/>
      <c r="C775" s="415" t="n"/>
      <c r="D775" s="416" t="n"/>
      <c r="E775" s="416" t="n"/>
      <c r="F775" s="416" t="n"/>
      <c r="G775" s="416" t="n"/>
      <c r="H775" s="417" t="n"/>
    </row>
    <row r="776" ht="15" customHeight="1" s="210">
      <c r="B776" s="419" t="n"/>
      <c r="C776" s="415" t="n"/>
      <c r="D776" s="416" t="n"/>
      <c r="E776" s="416" t="n"/>
      <c r="F776" s="416" t="n"/>
      <c r="G776" s="416" t="n"/>
      <c r="H776" s="417" t="n"/>
    </row>
    <row r="777" ht="15" customHeight="1" s="210">
      <c r="B777" s="419" t="n"/>
      <c r="C777" s="415" t="n"/>
      <c r="D777" s="416" t="n"/>
      <c r="E777" s="416" t="n"/>
      <c r="F777" s="416" t="n"/>
      <c r="G777" s="416" t="n"/>
      <c r="H777" s="417" t="n"/>
    </row>
    <row r="778" ht="15" customHeight="1" s="210">
      <c r="B778" s="419" t="n"/>
      <c r="C778" s="415" t="n"/>
      <c r="D778" s="416" t="n"/>
      <c r="E778" s="416" t="n"/>
      <c r="F778" s="416" t="n"/>
      <c r="G778" s="416" t="n"/>
      <c r="H778" s="417" t="n"/>
    </row>
    <row r="779" ht="15" customHeight="1" s="210">
      <c r="B779" s="419" t="n"/>
      <c r="C779" s="415" t="n"/>
      <c r="D779" s="416" t="n"/>
      <c r="E779" s="416" t="n"/>
      <c r="F779" s="416" t="n"/>
      <c r="G779" s="416" t="n"/>
      <c r="H779" s="417" t="n"/>
    </row>
    <row r="780" ht="15" customHeight="1" s="210">
      <c r="B780" s="419" t="n"/>
      <c r="C780" s="415" t="n"/>
      <c r="D780" s="416" t="n"/>
      <c r="E780" s="416" t="n"/>
      <c r="F780" s="416" t="n"/>
      <c r="G780" s="416" t="n"/>
      <c r="H780" s="417" t="n"/>
    </row>
    <row r="781" ht="15" customHeight="1" s="210">
      <c r="B781" s="419" t="n"/>
      <c r="C781" s="415" t="n"/>
      <c r="D781" s="416" t="n"/>
      <c r="E781" s="416" t="n"/>
      <c r="F781" s="416" t="n"/>
      <c r="G781" s="416" t="n"/>
      <c r="H781" s="417" t="n"/>
    </row>
    <row r="782" ht="15" customHeight="1" s="210">
      <c r="B782" s="419" t="n"/>
      <c r="C782" s="415" t="n"/>
      <c r="D782" s="416" t="n"/>
      <c r="E782" s="416" t="n"/>
      <c r="F782" s="416" t="n"/>
      <c r="G782" s="416" t="n"/>
      <c r="H782" s="417" t="n"/>
    </row>
    <row r="783" ht="15" customHeight="1" s="210">
      <c r="B783" s="419" t="n"/>
      <c r="C783" s="415" t="n"/>
      <c r="D783" s="416" t="n"/>
      <c r="E783" s="416" t="n"/>
      <c r="F783" s="416" t="n"/>
      <c r="G783" s="416" t="n"/>
      <c r="H783" s="417" t="n"/>
    </row>
    <row r="784" ht="15" customHeight="1" s="210">
      <c r="B784" s="419" t="n"/>
      <c r="C784" s="415" t="n"/>
      <c r="D784" s="416" t="n"/>
      <c r="E784" s="416" t="n"/>
      <c r="F784" s="416" t="n"/>
      <c r="G784" s="416" t="n"/>
      <c r="H784" s="417" t="n"/>
    </row>
    <row r="785" ht="15" customHeight="1" s="210">
      <c r="B785" s="419" t="n"/>
      <c r="C785" s="415" t="n"/>
      <c r="D785" s="416" t="n"/>
      <c r="E785" s="416" t="n"/>
      <c r="F785" s="416" t="n"/>
      <c r="G785" s="416" t="n"/>
      <c r="H785" s="417" t="n"/>
    </row>
    <row r="786" ht="15" customHeight="1" s="210">
      <c r="B786" s="419" t="n"/>
      <c r="C786" s="415" t="n"/>
      <c r="D786" s="416" t="n"/>
      <c r="E786" s="416" t="n"/>
      <c r="F786" s="416" t="n"/>
      <c r="G786" s="416" t="n"/>
      <c r="H786" s="417" t="n"/>
    </row>
    <row r="787" ht="15" customHeight="1" s="210">
      <c r="B787" s="419" t="n"/>
      <c r="C787" s="415" t="n"/>
      <c r="D787" s="416" t="n"/>
      <c r="E787" s="416" t="n"/>
      <c r="F787" s="416" t="n"/>
      <c r="G787" s="416" t="n"/>
      <c r="H787" s="417" t="n"/>
    </row>
    <row r="788" ht="15" customHeight="1" s="210">
      <c r="B788" s="419" t="n"/>
      <c r="C788" s="415" t="n"/>
      <c r="D788" s="416" t="n"/>
      <c r="E788" s="416" t="n"/>
      <c r="F788" s="416" t="n"/>
      <c r="G788" s="416" t="n"/>
      <c r="H788" s="417" t="n"/>
    </row>
    <row r="789" ht="15" customHeight="1" s="210">
      <c r="B789" s="419" t="n"/>
      <c r="C789" s="415" t="n"/>
      <c r="D789" s="416" t="n"/>
      <c r="E789" s="416" t="n"/>
      <c r="F789" s="416" t="n"/>
      <c r="G789" s="416" t="n"/>
      <c r="H789" s="417" t="n"/>
    </row>
    <row r="790" ht="15" customHeight="1" s="210">
      <c r="B790" s="419" t="n"/>
      <c r="C790" s="415" t="n"/>
      <c r="D790" s="416" t="n"/>
      <c r="E790" s="416" t="n"/>
      <c r="F790" s="416" t="n"/>
      <c r="G790" s="416" t="n"/>
      <c r="H790" s="417" t="n"/>
    </row>
    <row r="791" ht="15" customHeight="1" s="210">
      <c r="B791" s="419" t="n"/>
      <c r="C791" s="415" t="n"/>
      <c r="D791" s="416" t="n"/>
      <c r="E791" s="416" t="n"/>
      <c r="F791" s="416" t="n"/>
      <c r="G791" s="416" t="n"/>
      <c r="H791" s="417" t="n"/>
    </row>
    <row r="792" ht="15" customHeight="1" s="210">
      <c r="B792" s="419" t="n"/>
      <c r="C792" s="415" t="n"/>
      <c r="D792" s="416" t="n"/>
      <c r="E792" s="416" t="n"/>
      <c r="F792" s="416" t="n"/>
      <c r="G792" s="416" t="n"/>
      <c r="H792" s="417" t="n"/>
    </row>
    <row r="793" ht="15" customHeight="1" s="210">
      <c r="B793" s="419" t="n"/>
      <c r="C793" s="415" t="n"/>
      <c r="D793" s="416" t="n"/>
      <c r="E793" s="416" t="n"/>
      <c r="F793" s="416" t="n"/>
      <c r="G793" s="416" t="n"/>
      <c r="H793" s="417" t="n"/>
    </row>
    <row r="794" ht="15" customHeight="1" s="210">
      <c r="B794" s="419" t="n"/>
      <c r="C794" s="415" t="n"/>
      <c r="D794" s="416" t="n"/>
      <c r="E794" s="416" t="n"/>
      <c r="F794" s="416" t="n"/>
      <c r="G794" s="416" t="n"/>
      <c r="H794" s="417" t="n"/>
    </row>
    <row r="795" ht="15" customHeight="1" s="210">
      <c r="B795" s="419" t="n"/>
      <c r="C795" s="415" t="n"/>
      <c r="D795" s="416" t="n"/>
      <c r="E795" s="416" t="n"/>
      <c r="F795" s="416" t="n"/>
      <c r="G795" s="416" t="n"/>
      <c r="H795" s="417" t="n"/>
    </row>
    <row r="796" ht="15" customHeight="1" s="210">
      <c r="B796" s="419" t="n"/>
      <c r="C796" s="415" t="n"/>
      <c r="D796" s="416" t="n"/>
      <c r="E796" s="416" t="n"/>
      <c r="F796" s="416" t="n"/>
      <c r="G796" s="416" t="n"/>
      <c r="H796" s="417" t="n"/>
    </row>
    <row r="797" ht="15" customHeight="1" s="210">
      <c r="B797" s="419" t="n"/>
      <c r="C797" s="415" t="n"/>
      <c r="D797" s="416" t="n"/>
      <c r="E797" s="416" t="n"/>
      <c r="F797" s="416" t="n"/>
      <c r="G797" s="416" t="n"/>
      <c r="H797" s="417" t="n"/>
    </row>
    <row r="798" ht="15" customHeight="1" s="210">
      <c r="B798" s="419" t="n"/>
      <c r="C798" s="415" t="n"/>
      <c r="D798" s="416" t="n"/>
      <c r="E798" s="416" t="n"/>
      <c r="F798" s="416" t="n"/>
      <c r="G798" s="416" t="n"/>
      <c r="H798" s="417" t="n"/>
    </row>
    <row r="799" ht="15" customHeight="1" s="210">
      <c r="B799" s="419" t="n"/>
      <c r="C799" s="415" t="n"/>
      <c r="D799" s="416" t="n"/>
      <c r="E799" s="416" t="n"/>
      <c r="F799" s="416" t="n"/>
      <c r="G799" s="416" t="n"/>
      <c r="H799" s="417" t="n"/>
    </row>
    <row r="800" ht="15" customHeight="1" s="210">
      <c r="B800" s="419" t="n"/>
      <c r="C800" s="415" t="n"/>
      <c r="D800" s="416" t="n"/>
      <c r="E800" s="416" t="n"/>
      <c r="F800" s="416" t="n"/>
      <c r="G800" s="416" t="n"/>
      <c r="H800" s="417" t="n"/>
    </row>
    <row r="801" ht="15" customHeight="1" s="210">
      <c r="B801" s="419" t="n"/>
      <c r="C801" s="415" t="n"/>
      <c r="D801" s="416" t="n"/>
      <c r="E801" s="416" t="n"/>
      <c r="F801" s="416" t="n"/>
      <c r="G801" s="416" t="n"/>
      <c r="H801" s="417" t="n"/>
    </row>
    <row r="802" ht="15" customHeight="1" s="210">
      <c r="B802" s="419" t="n"/>
      <c r="C802" s="415" t="n"/>
      <c r="D802" s="416" t="n"/>
      <c r="E802" s="416" t="n"/>
      <c r="F802" s="416" t="n"/>
      <c r="G802" s="416" t="n"/>
      <c r="H802" s="417" t="n"/>
    </row>
    <row r="803" ht="15" customHeight="1" s="210">
      <c r="B803" s="419" t="n"/>
      <c r="C803" s="415" t="n"/>
      <c r="D803" s="416" t="n"/>
      <c r="E803" s="416" t="n"/>
      <c r="F803" s="416" t="n"/>
      <c r="G803" s="416" t="n"/>
      <c r="H803" s="417" t="n"/>
    </row>
    <row r="804" ht="15" customHeight="1" s="210">
      <c r="B804" s="419" t="n"/>
      <c r="C804" s="415" t="n"/>
      <c r="D804" s="416" t="n"/>
      <c r="E804" s="416" t="n"/>
      <c r="F804" s="416" t="n"/>
      <c r="G804" s="416" t="n"/>
      <c r="H804" s="417" t="n"/>
    </row>
    <row r="805" ht="15" customHeight="1" s="210">
      <c r="B805" s="419" t="n"/>
      <c r="C805" s="415" t="n"/>
      <c r="D805" s="416" t="n"/>
      <c r="E805" s="416" t="n"/>
      <c r="F805" s="416" t="n"/>
      <c r="G805" s="416" t="n"/>
      <c r="H805" s="417" t="n"/>
    </row>
    <row r="806" ht="15" customHeight="1" s="210">
      <c r="B806" s="419" t="n"/>
      <c r="C806" s="415" t="n"/>
      <c r="D806" s="416" t="n"/>
      <c r="E806" s="416" t="n"/>
      <c r="F806" s="416" t="n"/>
      <c r="G806" s="416" t="n"/>
      <c r="H806" s="417" t="n"/>
    </row>
    <row r="807" ht="15" customHeight="1" s="210">
      <c r="B807" s="419" t="n"/>
      <c r="C807" s="415" t="n"/>
      <c r="D807" s="416" t="n"/>
      <c r="E807" s="416" t="n"/>
      <c r="F807" s="416" t="n"/>
      <c r="G807" s="416" t="n"/>
      <c r="H807" s="417" t="n"/>
    </row>
    <row r="808" ht="15" customHeight="1" s="210">
      <c r="B808" s="419" t="n"/>
      <c r="C808" s="415" t="n"/>
      <c r="D808" s="416" t="n"/>
      <c r="E808" s="416" t="n"/>
      <c r="F808" s="416" t="n"/>
      <c r="G808" s="416" t="n"/>
      <c r="H808" s="417" t="n"/>
    </row>
    <row r="809" ht="15" customHeight="1" s="210">
      <c r="B809" s="419" t="n"/>
      <c r="C809" s="415" t="n"/>
      <c r="D809" s="416" t="n"/>
      <c r="E809" s="416" t="n"/>
      <c r="F809" s="416" t="n"/>
      <c r="G809" s="416" t="n"/>
      <c r="H809" s="417" t="n"/>
    </row>
    <row r="810" ht="15" customHeight="1" s="210">
      <c r="B810" s="419" t="n"/>
      <c r="C810" s="415" t="n"/>
      <c r="D810" s="416" t="n"/>
      <c r="E810" s="416" t="n"/>
      <c r="F810" s="416" t="n"/>
      <c r="G810" s="416" t="n"/>
      <c r="H810" s="417" t="n"/>
    </row>
    <row r="811" ht="15" customHeight="1" s="210">
      <c r="B811" s="419" t="n"/>
      <c r="C811" s="415" t="n"/>
      <c r="D811" s="416" t="n"/>
      <c r="E811" s="416" t="n"/>
      <c r="F811" s="416" t="n"/>
      <c r="G811" s="416" t="n"/>
      <c r="H811" s="417" t="n"/>
    </row>
    <row r="812" ht="15" customHeight="1" s="210">
      <c r="B812" s="419" t="n"/>
      <c r="C812" s="415" t="n"/>
      <c r="D812" s="416" t="n"/>
      <c r="E812" s="416" t="n"/>
      <c r="F812" s="416" t="n"/>
      <c r="G812" s="416" t="n"/>
      <c r="H812" s="417" t="n"/>
    </row>
    <row r="813" ht="15" customHeight="1" s="210">
      <c r="B813" s="419" t="n"/>
      <c r="C813" s="415" t="n"/>
      <c r="D813" s="416" t="n"/>
      <c r="E813" s="416" t="n"/>
      <c r="F813" s="416" t="n"/>
      <c r="G813" s="416" t="n"/>
      <c r="H813" s="417" t="n"/>
    </row>
    <row r="814" ht="15" customHeight="1" s="210">
      <c r="B814" s="419" t="n"/>
      <c r="C814" s="415" t="n"/>
      <c r="D814" s="416" t="n"/>
      <c r="E814" s="416" t="n"/>
      <c r="F814" s="416" t="n"/>
      <c r="G814" s="416" t="n"/>
      <c r="H814" s="417" t="n"/>
    </row>
    <row r="815" ht="15" customHeight="1" s="210">
      <c r="B815" s="419" t="n"/>
      <c r="C815" s="415" t="n"/>
      <c r="D815" s="416" t="n"/>
      <c r="E815" s="416" t="n"/>
      <c r="F815" s="416" t="n"/>
      <c r="G815" s="416" t="n"/>
      <c r="H815" s="417" t="n"/>
    </row>
    <row r="816" ht="15" customHeight="1" s="210">
      <c r="B816" s="419" t="n"/>
      <c r="C816" s="415" t="n"/>
      <c r="D816" s="416" t="n"/>
      <c r="E816" s="416" t="n"/>
      <c r="F816" s="416" t="n"/>
      <c r="G816" s="416" t="n"/>
      <c r="H816" s="417" t="n"/>
    </row>
    <row r="817" ht="15" customHeight="1" s="210">
      <c r="B817" s="419" t="n"/>
      <c r="C817" s="415" t="n"/>
      <c r="D817" s="416" t="n"/>
      <c r="E817" s="416" t="n"/>
      <c r="F817" s="416" t="n"/>
      <c r="G817" s="416" t="n"/>
      <c r="H817" s="417" t="n"/>
    </row>
    <row r="818" ht="15" customHeight="1" s="210">
      <c r="B818" s="419" t="n"/>
      <c r="C818" s="415" t="n"/>
      <c r="D818" s="416" t="n"/>
      <c r="E818" s="416" t="n"/>
      <c r="F818" s="416" t="n"/>
      <c r="G818" s="416" t="n"/>
      <c r="H818" s="417" t="n"/>
    </row>
    <row r="819" ht="15" customHeight="1" s="210">
      <c r="B819" s="419" t="n"/>
      <c r="C819" s="415" t="n"/>
      <c r="D819" s="416" t="n"/>
      <c r="E819" s="416" t="n"/>
      <c r="F819" s="416" t="n"/>
      <c r="G819" s="416" t="n"/>
      <c r="H819" s="417" t="n"/>
    </row>
    <row r="820" ht="15" customHeight="1" s="210">
      <c r="B820" s="419" t="n"/>
      <c r="C820" s="415" t="n"/>
      <c r="D820" s="416" t="n"/>
      <c r="E820" s="416" t="n"/>
      <c r="F820" s="416" t="n"/>
      <c r="G820" s="416" t="n"/>
      <c r="H820" s="417" t="n"/>
    </row>
    <row r="821" ht="15" customHeight="1" s="210">
      <c r="B821" s="419" t="n"/>
      <c r="C821" s="415" t="n"/>
      <c r="D821" s="416" t="n"/>
      <c r="E821" s="416" t="n"/>
      <c r="F821" s="416" t="n"/>
      <c r="G821" s="416" t="n"/>
      <c r="H821" s="417" t="n"/>
    </row>
    <row r="822" ht="15" customHeight="1" s="210">
      <c r="B822" s="419" t="n"/>
      <c r="C822" s="415" t="n"/>
      <c r="D822" s="416" t="n"/>
      <c r="E822" s="416" t="n"/>
      <c r="F822" s="416" t="n"/>
      <c r="G822" s="416" t="n"/>
      <c r="H822" s="417" t="n"/>
    </row>
    <row r="823" ht="15" customHeight="1" s="210">
      <c r="B823" s="419" t="n"/>
      <c r="C823" s="415" t="n"/>
      <c r="D823" s="416" t="n"/>
      <c r="E823" s="416" t="n"/>
      <c r="F823" s="416" t="n"/>
      <c r="G823" s="416" t="n"/>
      <c r="H823" s="417" t="n"/>
    </row>
    <row r="824" ht="15" customHeight="1" s="210">
      <c r="B824" s="419" t="n"/>
      <c r="C824" s="415" t="n"/>
      <c r="D824" s="416" t="n"/>
      <c r="E824" s="416" t="n"/>
      <c r="F824" s="416" t="n"/>
      <c r="G824" s="416" t="n"/>
      <c r="H824" s="417" t="n"/>
    </row>
    <row r="825" ht="15" customHeight="1" s="210">
      <c r="B825" s="419" t="n"/>
      <c r="C825" s="415" t="n"/>
      <c r="D825" s="416" t="n"/>
      <c r="E825" s="416" t="n"/>
      <c r="F825" s="416" t="n"/>
      <c r="G825" s="416" t="n"/>
      <c r="H825" s="417" t="n"/>
    </row>
    <row r="826" ht="15" customHeight="1" s="210">
      <c r="B826" s="419" t="n"/>
      <c r="C826" s="415" t="n"/>
      <c r="D826" s="416" t="n"/>
      <c r="E826" s="416" t="n"/>
      <c r="F826" s="416" t="n"/>
      <c r="G826" s="416" t="n"/>
      <c r="H826" s="417" t="n"/>
    </row>
    <row r="827" ht="15" customHeight="1" s="210">
      <c r="B827" s="419" t="n"/>
      <c r="C827" s="415" t="n"/>
      <c r="D827" s="416" t="n"/>
      <c r="E827" s="416" t="n"/>
      <c r="F827" s="416" t="n"/>
      <c r="G827" s="416" t="n"/>
      <c r="H827" s="417" t="n"/>
    </row>
    <row r="828" ht="15" customHeight="1" s="210">
      <c r="B828" s="419" t="n"/>
      <c r="C828" s="415" t="n"/>
      <c r="D828" s="416" t="n"/>
      <c r="E828" s="416" t="n"/>
      <c r="F828" s="416" t="n"/>
      <c r="G828" s="416" t="n"/>
      <c r="H828" s="417" t="n"/>
    </row>
    <row r="829" ht="15" customHeight="1" s="210">
      <c r="B829" s="419" t="n"/>
      <c r="C829" s="415" t="n"/>
      <c r="D829" s="416" t="n"/>
      <c r="E829" s="416" t="n"/>
      <c r="F829" s="416" t="n"/>
      <c r="G829" s="416" t="n"/>
      <c r="H829" s="417" t="n"/>
    </row>
    <row r="830" ht="15" customHeight="1" s="210">
      <c r="B830" s="419" t="n"/>
      <c r="C830" s="415" t="n"/>
      <c r="D830" s="416" t="n"/>
      <c r="E830" s="416" t="n"/>
      <c r="F830" s="416" t="n"/>
      <c r="G830" s="416" t="n"/>
      <c r="H830" s="417" t="n"/>
    </row>
    <row r="831" ht="15" customHeight="1" s="210">
      <c r="B831" s="419" t="n"/>
      <c r="C831" s="415" t="n"/>
      <c r="D831" s="416" t="n"/>
      <c r="E831" s="416" t="n"/>
      <c r="F831" s="416" t="n"/>
      <c r="G831" s="416" t="n"/>
      <c r="H831" s="417" t="n"/>
    </row>
    <row r="832" ht="15" customHeight="1" s="210">
      <c r="B832" s="419" t="n"/>
      <c r="C832" s="415" t="n"/>
      <c r="D832" s="416" t="n"/>
      <c r="E832" s="416" t="n"/>
      <c r="F832" s="416" t="n"/>
      <c r="G832" s="416" t="n"/>
      <c r="H832" s="417" t="n"/>
    </row>
    <row r="833" ht="15" customHeight="1" s="210">
      <c r="B833" s="419" t="n"/>
      <c r="C833" s="415" t="n"/>
      <c r="D833" s="416" t="n"/>
      <c r="E833" s="416" t="n"/>
      <c r="F833" s="416" t="n"/>
      <c r="G833" s="416" t="n"/>
      <c r="H833" s="417" t="n"/>
    </row>
    <row r="834" ht="15" customHeight="1" s="210">
      <c r="B834" s="419" t="n"/>
      <c r="C834" s="415" t="n"/>
      <c r="D834" s="416" t="n"/>
      <c r="E834" s="416" t="n"/>
      <c r="F834" s="416" t="n"/>
      <c r="G834" s="416" t="n"/>
      <c r="H834" s="417" t="n"/>
    </row>
    <row r="835" ht="15" customHeight="1" s="210">
      <c r="B835" s="419" t="n"/>
      <c r="C835" s="415" t="n"/>
      <c r="D835" s="416" t="n"/>
      <c r="E835" s="416" t="n"/>
      <c r="F835" s="416" t="n"/>
      <c r="G835" s="416" t="n"/>
      <c r="H835" s="417" t="n"/>
    </row>
    <row r="836" ht="15" customHeight="1" s="210">
      <c r="B836" s="419" t="n"/>
      <c r="C836" s="415" t="n"/>
      <c r="D836" s="416" t="n"/>
      <c r="E836" s="416" t="n"/>
      <c r="F836" s="416" t="n"/>
      <c r="G836" s="416" t="n"/>
      <c r="H836" s="417" t="n"/>
    </row>
    <row r="837" ht="15" customHeight="1" s="210">
      <c r="B837" s="419" t="n"/>
      <c r="C837" s="415" t="n"/>
      <c r="D837" s="416" t="n"/>
      <c r="E837" s="416" t="n"/>
      <c r="F837" s="416" t="n"/>
      <c r="G837" s="416" t="n"/>
      <c r="H837" s="417" t="n"/>
    </row>
    <row r="838" ht="15" customHeight="1" s="210">
      <c r="B838" s="419" t="n"/>
      <c r="C838" s="415" t="n"/>
      <c r="D838" s="416" t="n"/>
      <c r="E838" s="416" t="n"/>
      <c r="F838" s="416" t="n"/>
      <c r="G838" s="416" t="n"/>
      <c r="H838" s="417" t="n"/>
    </row>
    <row r="839" ht="15" customHeight="1" s="210">
      <c r="B839" s="419" t="n"/>
      <c r="C839" s="415" t="n"/>
      <c r="D839" s="416" t="n"/>
      <c r="E839" s="416" t="n"/>
      <c r="F839" s="416" t="n"/>
      <c r="G839" s="416" t="n"/>
      <c r="H839" s="417" t="n"/>
    </row>
    <row r="840" ht="15" customHeight="1" s="210">
      <c r="B840" s="419" t="n"/>
      <c r="C840" s="415" t="n"/>
      <c r="D840" s="416" t="n"/>
      <c r="E840" s="416" t="n"/>
      <c r="F840" s="416" t="n"/>
      <c r="G840" s="416" t="n"/>
      <c r="H840" s="417" t="n"/>
    </row>
    <row r="841" ht="15" customHeight="1" s="210">
      <c r="B841" s="419" t="n"/>
      <c r="C841" s="415" t="n"/>
      <c r="D841" s="416" t="n"/>
      <c r="E841" s="416" t="n"/>
      <c r="F841" s="416" t="n"/>
      <c r="G841" s="416" t="n"/>
      <c r="H841" s="417" t="n"/>
    </row>
    <row r="842" ht="15" customHeight="1" s="210">
      <c r="B842" s="419" t="n"/>
      <c r="C842" s="415" t="n"/>
      <c r="D842" s="416" t="n"/>
      <c r="E842" s="416" t="n"/>
      <c r="F842" s="416" t="n"/>
      <c r="G842" s="416" t="n"/>
      <c r="H842" s="417" t="n"/>
    </row>
    <row r="843" ht="15" customHeight="1" s="210">
      <c r="B843" s="419" t="n"/>
      <c r="C843" s="415" t="n"/>
      <c r="D843" s="416" t="n"/>
      <c r="E843" s="416" t="n"/>
      <c r="F843" s="416" t="n"/>
      <c r="G843" s="416" t="n"/>
      <c r="H843" s="417" t="n"/>
    </row>
    <row r="844" ht="15" customHeight="1" s="210">
      <c r="B844" s="419" t="n"/>
      <c r="C844" s="415" t="n"/>
      <c r="D844" s="416" t="n"/>
      <c r="E844" s="416" t="n"/>
      <c r="F844" s="416" t="n"/>
      <c r="G844" s="416" t="n"/>
      <c r="H844" s="417" t="n"/>
    </row>
    <row r="845" ht="15" customHeight="1" s="210">
      <c r="B845" s="419" t="n"/>
      <c r="C845" s="415" t="n"/>
      <c r="D845" s="416" t="n"/>
      <c r="E845" s="416" t="n"/>
      <c r="F845" s="416" t="n"/>
      <c r="G845" s="416" t="n"/>
      <c r="H845" s="417" t="n"/>
    </row>
    <row r="846" ht="15" customHeight="1" s="210">
      <c r="B846" s="419" t="n"/>
      <c r="C846" s="415" t="n"/>
      <c r="D846" s="416" t="n"/>
      <c r="E846" s="416" t="n"/>
      <c r="F846" s="416" t="n"/>
      <c r="G846" s="416" t="n"/>
      <c r="H846" s="417" t="n"/>
    </row>
    <row r="847" ht="15" customHeight="1" s="210">
      <c r="B847" s="419" t="n"/>
      <c r="C847" s="415" t="n"/>
      <c r="D847" s="416" t="n"/>
      <c r="E847" s="416" t="n"/>
      <c r="F847" s="416" t="n"/>
      <c r="G847" s="416" t="n"/>
      <c r="H847" s="417" t="n"/>
    </row>
    <row r="848" ht="15" customHeight="1" s="210">
      <c r="B848" s="419" t="n"/>
      <c r="C848" s="415" t="n"/>
      <c r="D848" s="416" t="n"/>
      <c r="E848" s="416" t="n"/>
      <c r="F848" s="416" t="n"/>
      <c r="G848" s="416" t="n"/>
      <c r="H848" s="417" t="n"/>
    </row>
    <row r="849" ht="15" customHeight="1" s="210">
      <c r="B849" s="419" t="n"/>
      <c r="C849" s="415" t="n"/>
      <c r="D849" s="416" t="n"/>
      <c r="E849" s="416" t="n"/>
      <c r="F849" s="416" t="n"/>
      <c r="G849" s="416" t="n"/>
      <c r="H849" s="417" t="n"/>
    </row>
    <row r="850" ht="15" customHeight="1" s="210">
      <c r="B850" s="419" t="n"/>
      <c r="C850" s="415" t="n"/>
      <c r="D850" s="416" t="n"/>
      <c r="E850" s="416" t="n"/>
      <c r="F850" s="416" t="n"/>
      <c r="G850" s="416" t="n"/>
      <c r="H850" s="417" t="n"/>
    </row>
    <row r="851" ht="15" customHeight="1" s="210">
      <c r="B851" s="419" t="n"/>
      <c r="C851" s="415" t="n"/>
      <c r="D851" s="416" t="n"/>
      <c r="E851" s="416" t="n"/>
      <c r="F851" s="416" t="n"/>
      <c r="G851" s="416" t="n"/>
      <c r="H851" s="417" t="n"/>
    </row>
    <row r="852" ht="15" customHeight="1" s="210">
      <c r="B852" s="419" t="n"/>
      <c r="C852" s="415" t="n"/>
      <c r="D852" s="416" t="n"/>
      <c r="E852" s="416" t="n"/>
      <c r="F852" s="416" t="n"/>
      <c r="G852" s="416" t="n"/>
      <c r="H852" s="417" t="n"/>
    </row>
    <row r="853" ht="15" customHeight="1" s="210">
      <c r="B853" s="419" t="n"/>
      <c r="C853" s="415" t="n"/>
      <c r="D853" s="416" t="n"/>
      <c r="E853" s="416" t="n"/>
      <c r="F853" s="416" t="n"/>
      <c r="G853" s="416" t="n"/>
      <c r="H853" s="417" t="n"/>
    </row>
    <row r="854" ht="15" customHeight="1" s="210">
      <c r="B854" s="419" t="n"/>
      <c r="C854" s="415" t="n"/>
      <c r="D854" s="416" t="n"/>
      <c r="E854" s="416" t="n"/>
      <c r="F854" s="416" t="n"/>
      <c r="G854" s="416" t="n"/>
      <c r="H854" s="417" t="n"/>
    </row>
    <row r="855" ht="15" customHeight="1" s="210">
      <c r="B855" s="419" t="n"/>
      <c r="C855" s="415" t="n"/>
      <c r="D855" s="416" t="n"/>
      <c r="E855" s="416" t="n"/>
      <c r="F855" s="416" t="n"/>
      <c r="G855" s="416" t="n"/>
      <c r="H855" s="417" t="n"/>
    </row>
    <row r="856" ht="15" customHeight="1" s="210">
      <c r="B856" s="419" t="n"/>
      <c r="C856" s="415" t="n"/>
      <c r="D856" s="416" t="n"/>
      <c r="E856" s="416" t="n"/>
      <c r="F856" s="416" t="n"/>
      <c r="G856" s="416" t="n"/>
      <c r="H856" s="417" t="n"/>
    </row>
    <row r="857" ht="15" customHeight="1" s="210">
      <c r="B857" s="419" t="n"/>
      <c r="C857" s="415" t="n"/>
      <c r="D857" s="416" t="n"/>
      <c r="E857" s="416" t="n"/>
      <c r="F857" s="416" t="n"/>
      <c r="G857" s="416" t="n"/>
      <c r="H857" s="417" t="n"/>
    </row>
    <row r="858" ht="15" customHeight="1" s="210">
      <c r="B858" s="419" t="n"/>
      <c r="C858" s="415" t="n"/>
      <c r="D858" s="416" t="n"/>
      <c r="E858" s="416" t="n"/>
      <c r="F858" s="416" t="n"/>
      <c r="G858" s="416" t="n"/>
      <c r="H858" s="417" t="n"/>
    </row>
    <row r="859" ht="15" customHeight="1" s="210">
      <c r="B859" s="419" t="n"/>
      <c r="C859" s="415" t="n"/>
      <c r="D859" s="416" t="n"/>
      <c r="E859" s="416" t="n"/>
      <c r="F859" s="416" t="n"/>
      <c r="G859" s="416" t="n"/>
      <c r="H859" s="417" t="n"/>
    </row>
    <row r="860" ht="15" customHeight="1" s="210">
      <c r="B860" s="419" t="n"/>
      <c r="C860" s="415" t="n"/>
      <c r="D860" s="416" t="n"/>
      <c r="E860" s="416" t="n"/>
      <c r="F860" s="416" t="n"/>
      <c r="G860" s="416" t="n"/>
      <c r="H860" s="417" t="n"/>
    </row>
    <row r="861" ht="15" customHeight="1" s="210">
      <c r="B861" s="419" t="n"/>
      <c r="C861" s="415" t="n"/>
      <c r="D861" s="416" t="n"/>
      <c r="E861" s="416" t="n"/>
      <c r="F861" s="416" t="n"/>
      <c r="G861" s="416" t="n"/>
      <c r="H861" s="417" t="n"/>
    </row>
    <row r="862" ht="15" customHeight="1" s="210">
      <c r="B862" s="419" t="n"/>
      <c r="C862" s="415" t="n"/>
      <c r="D862" s="416" t="n"/>
      <c r="E862" s="416" t="n"/>
      <c r="F862" s="416" t="n"/>
      <c r="G862" s="416" t="n"/>
      <c r="H862" s="417" t="n"/>
    </row>
    <row r="863" ht="15" customHeight="1" s="210">
      <c r="B863" s="419" t="n"/>
      <c r="C863" s="415" t="n"/>
      <c r="D863" s="416" t="n"/>
      <c r="E863" s="416" t="n"/>
      <c r="F863" s="416" t="n"/>
      <c r="G863" s="416" t="n"/>
      <c r="H863" s="417" t="n"/>
    </row>
    <row r="864" ht="15" customHeight="1" s="210">
      <c r="B864" s="419" t="n"/>
      <c r="C864" s="415" t="n"/>
      <c r="D864" s="416" t="n"/>
      <c r="E864" s="416" t="n"/>
      <c r="F864" s="416" t="n"/>
      <c r="G864" s="416" t="n"/>
      <c r="H864" s="417" t="n"/>
    </row>
    <row r="865" ht="15" customHeight="1" s="210">
      <c r="B865" s="419" t="n"/>
      <c r="C865" s="415" t="n"/>
      <c r="D865" s="416" t="n"/>
      <c r="E865" s="416" t="n"/>
      <c r="F865" s="416" t="n"/>
      <c r="G865" s="416" t="n"/>
      <c r="H865" s="417" t="n"/>
    </row>
    <row r="866" ht="15" customHeight="1" s="210">
      <c r="B866" s="419" t="n"/>
      <c r="C866" s="415" t="n"/>
      <c r="D866" s="416" t="n"/>
      <c r="E866" s="416" t="n"/>
      <c r="F866" s="416" t="n"/>
      <c r="G866" s="416" t="n"/>
      <c r="H866" s="417" t="n"/>
    </row>
    <row r="867" ht="15" customHeight="1" s="210">
      <c r="B867" s="419" t="n"/>
      <c r="C867" s="415" t="n"/>
      <c r="D867" s="416" t="n"/>
      <c r="E867" s="416" t="n"/>
      <c r="F867" s="416" t="n"/>
      <c r="G867" s="416" t="n"/>
      <c r="H867" s="417" t="n"/>
    </row>
    <row r="868" ht="15" customHeight="1" s="210">
      <c r="B868" s="419" t="n"/>
      <c r="C868" s="415" t="n"/>
      <c r="D868" s="416" t="n"/>
      <c r="E868" s="416" t="n"/>
      <c r="F868" s="416" t="n"/>
      <c r="G868" s="416" t="n"/>
      <c r="H868" s="417" t="n"/>
    </row>
    <row r="869" ht="15" customHeight="1" s="210">
      <c r="B869" s="419" t="n"/>
      <c r="C869" s="415" t="n"/>
      <c r="D869" s="416" t="n"/>
      <c r="E869" s="416" t="n"/>
      <c r="F869" s="416" t="n"/>
      <c r="G869" s="416" t="n"/>
      <c r="H869" s="417" t="n"/>
    </row>
    <row r="870" ht="15" customHeight="1" s="210">
      <c r="B870" s="419" t="n"/>
      <c r="C870" s="415" t="n"/>
      <c r="D870" s="416" t="n"/>
      <c r="E870" s="416" t="n"/>
      <c r="F870" s="416" t="n"/>
      <c r="G870" s="416" t="n"/>
      <c r="H870" s="417" t="n"/>
    </row>
    <row r="871" ht="15" customHeight="1" s="210">
      <c r="B871" s="419" t="n"/>
      <c r="C871" s="415" t="n"/>
      <c r="D871" s="416" t="n"/>
      <c r="E871" s="416" t="n"/>
      <c r="F871" s="416" t="n"/>
      <c r="G871" s="416" t="n"/>
      <c r="H871" s="417" t="n"/>
    </row>
    <row r="872" ht="15" customHeight="1" s="210">
      <c r="B872" s="419" t="n"/>
      <c r="C872" s="415" t="n"/>
      <c r="D872" s="416" t="n"/>
      <c r="E872" s="416" t="n"/>
      <c r="F872" s="416" t="n"/>
      <c r="G872" s="416" t="n"/>
      <c r="H872" s="417" t="n"/>
    </row>
    <row r="873" ht="15" customHeight="1" s="210">
      <c r="B873" s="419" t="n"/>
      <c r="C873" s="415" t="n"/>
      <c r="D873" s="416" t="n"/>
      <c r="E873" s="416" t="n"/>
      <c r="F873" s="416" t="n"/>
      <c r="G873" s="416" t="n"/>
      <c r="H873" s="417" t="n"/>
    </row>
    <row r="874" ht="15" customHeight="1" s="210">
      <c r="B874" s="419" t="n"/>
      <c r="C874" s="415" t="n"/>
      <c r="D874" s="416" t="n"/>
      <c r="E874" s="416" t="n"/>
      <c r="F874" s="416" t="n"/>
      <c r="G874" s="416" t="n"/>
      <c r="H874" s="417" t="n"/>
    </row>
    <row r="875" ht="15" customHeight="1" s="210">
      <c r="B875" s="419" t="n"/>
      <c r="C875" s="415" t="n"/>
      <c r="D875" s="416" t="n"/>
      <c r="E875" s="416" t="n"/>
      <c r="F875" s="416" t="n"/>
      <c r="G875" s="416" t="n"/>
      <c r="H875" s="417" t="n"/>
    </row>
    <row r="876" ht="15" customHeight="1" s="210">
      <c r="B876" s="419" t="n"/>
      <c r="C876" s="415" t="n"/>
      <c r="D876" s="416" t="n"/>
      <c r="E876" s="416" t="n"/>
      <c r="F876" s="416" t="n"/>
      <c r="G876" s="416" t="n"/>
      <c r="H876" s="417" t="n"/>
    </row>
    <row r="877" ht="15" customHeight="1" s="210">
      <c r="B877" s="419" t="n"/>
      <c r="C877" s="415" t="n"/>
      <c r="D877" s="416" t="n"/>
      <c r="E877" s="416" t="n"/>
      <c r="F877" s="416" t="n"/>
      <c r="G877" s="416" t="n"/>
      <c r="H877" s="417" t="n"/>
    </row>
    <row r="878" ht="15" customHeight="1" s="210">
      <c r="B878" s="419" t="n"/>
      <c r="C878" s="415" t="n"/>
      <c r="D878" s="416" t="n"/>
      <c r="E878" s="416" t="n"/>
      <c r="F878" s="416" t="n"/>
      <c r="G878" s="416" t="n"/>
      <c r="H878" s="417" t="n"/>
    </row>
    <row r="879" ht="15" customHeight="1" s="210">
      <c r="B879" s="419" t="n"/>
      <c r="C879" s="415" t="n"/>
      <c r="D879" s="416" t="n"/>
      <c r="E879" s="416" t="n"/>
      <c r="F879" s="416" t="n"/>
      <c r="G879" s="416" t="n"/>
      <c r="H879" s="417" t="n"/>
    </row>
    <row r="880" ht="15" customHeight="1" s="210">
      <c r="B880" s="419" t="n"/>
      <c r="C880" s="415" t="n"/>
      <c r="D880" s="416" t="n"/>
      <c r="E880" s="416" t="n"/>
      <c r="F880" s="416" t="n"/>
      <c r="G880" s="416" t="n"/>
      <c r="H880" s="417" t="n"/>
    </row>
    <row r="881" ht="15" customHeight="1" s="210">
      <c r="B881" s="419" t="n"/>
      <c r="C881" s="415" t="n"/>
      <c r="D881" s="416" t="n"/>
      <c r="E881" s="416" t="n"/>
      <c r="F881" s="416" t="n"/>
      <c r="G881" s="416" t="n"/>
      <c r="H881" s="417" t="n"/>
    </row>
    <row r="882" ht="15" customHeight="1" s="210">
      <c r="B882" s="419" t="n"/>
      <c r="C882" s="415" t="n"/>
      <c r="D882" s="416" t="n"/>
      <c r="E882" s="416" t="n"/>
      <c r="F882" s="416" t="n"/>
      <c r="G882" s="416" t="n"/>
      <c r="H882" s="417" t="n"/>
    </row>
    <row r="883" ht="15" customHeight="1" s="210">
      <c r="B883" s="419" t="n"/>
      <c r="C883" s="415" t="n"/>
      <c r="D883" s="416" t="n"/>
      <c r="E883" s="416" t="n"/>
      <c r="F883" s="416" t="n"/>
      <c r="G883" s="416" t="n"/>
      <c r="H883" s="417" t="n"/>
    </row>
    <row r="884" ht="15" customHeight="1" s="210">
      <c r="B884" s="419" t="n"/>
      <c r="C884" s="415" t="n"/>
      <c r="D884" s="416" t="n"/>
      <c r="E884" s="416" t="n"/>
      <c r="F884" s="416" t="n"/>
      <c r="G884" s="416" t="n"/>
      <c r="H884" s="417" t="n"/>
    </row>
    <row r="885" ht="15" customHeight="1" s="210">
      <c r="B885" s="419" t="n"/>
      <c r="C885" s="415" t="n"/>
      <c r="D885" s="416" t="n"/>
      <c r="E885" s="416" t="n"/>
      <c r="F885" s="416" t="n"/>
      <c r="G885" s="416" t="n"/>
      <c r="H885" s="417" t="n"/>
    </row>
    <row r="886" ht="15" customHeight="1" s="210">
      <c r="B886" s="419" t="n"/>
      <c r="C886" s="415" t="n"/>
      <c r="D886" s="416" t="n"/>
      <c r="E886" s="416" t="n"/>
      <c r="F886" s="416" t="n"/>
      <c r="G886" s="416" t="n"/>
      <c r="H886" s="417" t="n"/>
    </row>
    <row r="887" ht="15" customHeight="1" s="210">
      <c r="B887" s="419" t="n"/>
      <c r="C887" s="415" t="n"/>
      <c r="D887" s="416" t="n"/>
      <c r="E887" s="416" t="n"/>
      <c r="F887" s="416" t="n"/>
      <c r="G887" s="416" t="n"/>
      <c r="H887" s="417" t="n"/>
    </row>
    <row r="888" ht="15" customHeight="1" s="210">
      <c r="B888" s="419" t="n"/>
      <c r="C888" s="415" t="n"/>
      <c r="D888" s="416" t="n"/>
      <c r="E888" s="416" t="n"/>
      <c r="F888" s="416" t="n"/>
      <c r="G888" s="416" t="n"/>
      <c r="H888" s="417" t="n"/>
    </row>
    <row r="889" ht="15" customHeight="1" s="210">
      <c r="B889" s="419" t="n"/>
      <c r="C889" s="415" t="n"/>
      <c r="D889" s="416" t="n"/>
      <c r="E889" s="416" t="n"/>
      <c r="F889" s="416" t="n"/>
      <c r="G889" s="416" t="n"/>
      <c r="H889" s="417" t="n"/>
    </row>
    <row r="890" ht="15" customHeight="1" s="210">
      <c r="B890" s="419" t="n"/>
      <c r="C890" s="415" t="n"/>
      <c r="D890" s="416" t="n"/>
      <c r="E890" s="416" t="n"/>
      <c r="F890" s="416" t="n"/>
      <c r="G890" s="416" t="n"/>
      <c r="H890" s="417" t="n"/>
    </row>
    <row r="891" ht="15" customHeight="1" s="210">
      <c r="B891" s="419" t="n"/>
      <c r="C891" s="415" t="n"/>
      <c r="D891" s="416" t="n"/>
      <c r="E891" s="416" t="n"/>
      <c r="F891" s="416" t="n"/>
      <c r="G891" s="416" t="n"/>
      <c r="H891" s="417" t="n"/>
    </row>
    <row r="892" ht="15" customHeight="1" s="210">
      <c r="B892" s="419" t="n"/>
      <c r="C892" s="415" t="n"/>
      <c r="D892" s="416" t="n"/>
      <c r="E892" s="416" t="n"/>
      <c r="F892" s="416" t="n"/>
      <c r="G892" s="416" t="n"/>
      <c r="H892" s="417" t="n"/>
    </row>
    <row r="893" ht="15" customHeight="1" s="210">
      <c r="B893" s="419" t="n"/>
      <c r="C893" s="415" t="n"/>
      <c r="D893" s="416" t="n"/>
      <c r="E893" s="416" t="n"/>
      <c r="F893" s="416" t="n"/>
      <c r="G893" s="416" t="n"/>
      <c r="H893" s="417" t="n"/>
    </row>
    <row r="894" ht="15" customHeight="1" s="210">
      <c r="B894" s="419" t="n"/>
      <c r="C894" s="415" t="n"/>
      <c r="D894" s="416" t="n"/>
      <c r="E894" s="416" t="n"/>
      <c r="F894" s="416" t="n"/>
      <c r="G894" s="416" t="n"/>
      <c r="H894" s="417" t="n"/>
    </row>
    <row r="895" ht="15" customHeight="1" s="210">
      <c r="B895" s="419" t="n"/>
      <c r="C895" s="415" t="n"/>
      <c r="D895" s="416" t="n"/>
      <c r="E895" s="416" t="n"/>
      <c r="F895" s="416" t="n"/>
      <c r="G895" s="416" t="n"/>
      <c r="H895" s="417" t="n"/>
    </row>
    <row r="896" ht="15" customHeight="1" s="210">
      <c r="B896" s="419" t="n"/>
      <c r="C896" s="415" t="n"/>
      <c r="D896" s="416" t="n"/>
      <c r="E896" s="416" t="n"/>
      <c r="F896" s="416" t="n"/>
      <c r="G896" s="416" t="n"/>
      <c r="H896" s="417" t="n"/>
    </row>
    <row r="897" ht="15" customHeight="1" s="210">
      <c r="B897" s="419" t="n"/>
      <c r="C897" s="415" t="n"/>
      <c r="D897" s="416" t="n"/>
      <c r="E897" s="416" t="n"/>
      <c r="F897" s="416" t="n"/>
      <c r="G897" s="416" t="n"/>
      <c r="H897" s="417" t="n"/>
    </row>
    <row r="898" ht="15" customHeight="1" s="210">
      <c r="B898" s="419" t="n"/>
      <c r="C898" s="415" t="n"/>
      <c r="D898" s="416" t="n"/>
      <c r="E898" s="416" t="n"/>
      <c r="F898" s="416" t="n"/>
      <c r="G898" s="416" t="n"/>
      <c r="H898" s="417" t="n"/>
    </row>
    <row r="899" ht="15" customHeight="1" s="210">
      <c r="B899" s="419" t="n"/>
      <c r="C899" s="415" t="n"/>
      <c r="D899" s="416" t="n"/>
      <c r="E899" s="416" t="n"/>
      <c r="F899" s="416" t="n"/>
      <c r="G899" s="416" t="n"/>
      <c r="H899" s="417" t="n"/>
    </row>
    <row r="900" ht="15" customHeight="1" s="210">
      <c r="B900" s="419" t="n"/>
      <c r="C900" s="415" t="n"/>
      <c r="D900" s="416" t="n"/>
      <c r="E900" s="416" t="n"/>
      <c r="F900" s="416" t="n"/>
      <c r="G900" s="416" t="n"/>
      <c r="H900" s="417" t="n"/>
    </row>
    <row r="901" ht="15" customHeight="1" s="210">
      <c r="B901" s="419" t="n"/>
      <c r="C901" s="415" t="n"/>
      <c r="D901" s="416" t="n"/>
      <c r="E901" s="416" t="n"/>
      <c r="F901" s="416" t="n"/>
      <c r="G901" s="416" t="n"/>
      <c r="H901" s="417" t="n"/>
    </row>
    <row r="902" ht="15" customHeight="1" s="210">
      <c r="B902" s="419" t="n"/>
      <c r="C902" s="415" t="n"/>
      <c r="D902" s="416" t="n"/>
      <c r="E902" s="416" t="n"/>
      <c r="F902" s="416" t="n"/>
      <c r="G902" s="416" t="n"/>
      <c r="H902" s="417" t="n"/>
    </row>
    <row r="903" ht="15" customHeight="1" s="210">
      <c r="B903" s="419" t="n"/>
      <c r="C903" s="415" t="n"/>
      <c r="D903" s="416" t="n"/>
      <c r="E903" s="416" t="n"/>
      <c r="F903" s="416" t="n"/>
      <c r="G903" s="416" t="n"/>
      <c r="H903" s="417" t="n"/>
    </row>
    <row r="904" ht="15" customHeight="1" s="210">
      <c r="B904" s="419" t="n"/>
      <c r="C904" s="415" t="n"/>
      <c r="D904" s="416" t="n"/>
      <c r="E904" s="416" t="n"/>
      <c r="F904" s="416" t="n"/>
      <c r="G904" s="416" t="n"/>
      <c r="H904" s="417" t="n"/>
    </row>
    <row r="905" ht="15" customHeight="1" s="210">
      <c r="B905" s="419" t="n"/>
      <c r="C905" s="415" t="n"/>
      <c r="D905" s="416" t="n"/>
      <c r="E905" s="416" t="n"/>
      <c r="F905" s="416" t="n"/>
      <c r="G905" s="416" t="n"/>
      <c r="H905" s="417" t="n"/>
    </row>
    <row r="906" ht="15" customHeight="1" s="210">
      <c r="B906" s="419" t="n"/>
      <c r="C906" s="415" t="n"/>
      <c r="D906" s="416" t="n"/>
      <c r="E906" s="416" t="n"/>
      <c r="F906" s="416" t="n"/>
      <c r="G906" s="416" t="n"/>
      <c r="H906" s="417" t="n"/>
    </row>
    <row r="907" ht="15" customHeight="1" s="210">
      <c r="B907" s="419" t="n"/>
      <c r="C907" s="415" t="n"/>
      <c r="D907" s="416" t="n"/>
      <c r="E907" s="416" t="n"/>
      <c r="F907" s="416" t="n"/>
      <c r="G907" s="416" t="n"/>
      <c r="H907" s="417" t="n"/>
    </row>
    <row r="908" ht="15" customHeight="1" s="210">
      <c r="B908" s="419" t="n"/>
      <c r="C908" s="415" t="n"/>
      <c r="D908" s="416" t="n"/>
      <c r="E908" s="416" t="n"/>
      <c r="F908" s="416" t="n"/>
      <c r="G908" s="416" t="n"/>
      <c r="H908" s="417" t="n"/>
    </row>
    <row r="909" ht="15" customHeight="1" s="210">
      <c r="B909" s="419" t="n"/>
      <c r="C909" s="415" t="n"/>
      <c r="D909" s="416" t="n"/>
      <c r="E909" s="416" t="n"/>
      <c r="F909" s="416" t="n"/>
      <c r="G909" s="416" t="n"/>
      <c r="H909" s="417" t="n"/>
    </row>
    <row r="910" ht="15" customHeight="1" s="210">
      <c r="B910" s="419" t="n"/>
      <c r="C910" s="415" t="n"/>
      <c r="D910" s="416" t="n"/>
      <c r="E910" s="416" t="n"/>
      <c r="F910" s="416" t="n"/>
      <c r="G910" s="416" t="n"/>
      <c r="H910" s="417" t="n"/>
    </row>
    <row r="911" ht="15" customHeight="1" s="210">
      <c r="B911" s="419" t="n"/>
      <c r="C911" s="415" t="n"/>
      <c r="D911" s="416" t="n"/>
      <c r="E911" s="416" t="n"/>
      <c r="F911" s="416" t="n"/>
      <c r="G911" s="416" t="n"/>
      <c r="H911" s="417" t="n"/>
    </row>
    <row r="912" ht="15" customHeight="1" s="210">
      <c r="B912" s="419" t="n"/>
      <c r="C912" s="415" t="n"/>
      <c r="D912" s="416" t="n"/>
      <c r="E912" s="416" t="n"/>
      <c r="F912" s="416" t="n"/>
      <c r="G912" s="416" t="n"/>
      <c r="H912" s="417" t="n"/>
    </row>
    <row r="913" ht="15" customHeight="1" s="210">
      <c r="B913" s="419" t="n"/>
      <c r="C913" s="415" t="n"/>
      <c r="D913" s="416" t="n"/>
      <c r="E913" s="416" t="n"/>
      <c r="F913" s="416" t="n"/>
      <c r="G913" s="416" t="n"/>
      <c r="H913" s="417" t="n"/>
    </row>
    <row r="914" ht="15" customHeight="1" s="210">
      <c r="B914" s="419" t="n"/>
      <c r="C914" s="415" t="n"/>
      <c r="D914" s="416" t="n"/>
      <c r="E914" s="416" t="n"/>
      <c r="F914" s="416" t="n"/>
      <c r="G914" s="416" t="n"/>
      <c r="H914" s="417" t="n"/>
    </row>
    <row r="915" ht="15" customHeight="1" s="210">
      <c r="B915" s="419" t="n"/>
      <c r="C915" s="415" t="n"/>
      <c r="D915" s="416" t="n"/>
      <c r="E915" s="416" t="n"/>
      <c r="F915" s="416" t="n"/>
      <c r="G915" s="416" t="n"/>
      <c r="H915" s="417" t="n"/>
    </row>
    <row r="916" ht="15" customHeight="1" s="210">
      <c r="B916" s="419" t="n"/>
      <c r="C916" s="415" t="n"/>
      <c r="D916" s="416" t="n"/>
      <c r="E916" s="416" t="n"/>
      <c r="F916" s="416" t="n"/>
      <c r="G916" s="416" t="n"/>
      <c r="H916" s="417" t="n"/>
    </row>
    <row r="917" ht="15" customHeight="1" s="210">
      <c r="B917" s="419" t="n"/>
      <c r="C917" s="415" t="n"/>
      <c r="D917" s="416" t="n"/>
      <c r="E917" s="416" t="n"/>
      <c r="F917" s="416" t="n"/>
      <c r="G917" s="416" t="n"/>
      <c r="H917" s="417" t="n"/>
    </row>
    <row r="918" ht="15" customHeight="1" s="210">
      <c r="B918" s="419" t="n"/>
      <c r="C918" s="415" t="n"/>
      <c r="D918" s="416" t="n"/>
      <c r="E918" s="416" t="n"/>
      <c r="F918" s="416" t="n"/>
      <c r="G918" s="416" t="n"/>
      <c r="H918" s="417" t="n"/>
    </row>
    <row r="919" ht="15" customHeight="1" s="210">
      <c r="B919" s="419" t="n"/>
      <c r="C919" s="415" t="n"/>
      <c r="D919" s="416" t="n"/>
      <c r="E919" s="416" t="n"/>
      <c r="F919" s="416" t="n"/>
      <c r="G919" s="416" t="n"/>
      <c r="H919" s="417" t="n"/>
    </row>
    <row r="920" ht="15" customHeight="1" s="210">
      <c r="B920" s="419" t="n"/>
      <c r="C920" s="415" t="n"/>
      <c r="D920" s="416" t="n"/>
      <c r="E920" s="416" t="n"/>
      <c r="F920" s="416" t="n"/>
      <c r="G920" s="416" t="n"/>
      <c r="H920" s="417" t="n"/>
    </row>
    <row r="921" ht="15" customHeight="1" s="210">
      <c r="B921" s="419" t="n"/>
      <c r="C921" s="415" t="n"/>
      <c r="D921" s="416" t="n"/>
      <c r="E921" s="416" t="n"/>
      <c r="F921" s="416" t="n"/>
      <c r="G921" s="416" t="n"/>
      <c r="H921" s="417" t="n"/>
    </row>
    <row r="922" ht="15" customHeight="1" s="210">
      <c r="B922" s="419" t="n"/>
      <c r="C922" s="415" t="n"/>
      <c r="D922" s="416" t="n"/>
      <c r="E922" s="416" t="n"/>
      <c r="F922" s="416" t="n"/>
      <c r="G922" s="416" t="n"/>
      <c r="H922" s="417" t="n"/>
    </row>
    <row r="923" ht="15" customHeight="1" s="210">
      <c r="B923" s="419" t="n"/>
      <c r="C923" s="415" t="n"/>
      <c r="D923" s="416" t="n"/>
      <c r="E923" s="416" t="n"/>
      <c r="F923" s="416" t="n"/>
      <c r="G923" s="416" t="n"/>
      <c r="H923" s="417" t="n"/>
    </row>
    <row r="924" ht="15" customHeight="1" s="210">
      <c r="B924" s="419" t="n"/>
      <c r="C924" s="415" t="n"/>
      <c r="D924" s="416" t="n"/>
      <c r="E924" s="416" t="n"/>
      <c r="F924" s="416" t="n"/>
      <c r="G924" s="416" t="n"/>
      <c r="H924" s="417" t="n"/>
    </row>
    <row r="925" ht="15" customHeight="1" s="210">
      <c r="B925" s="419" t="n"/>
      <c r="C925" s="415" t="n"/>
      <c r="D925" s="416" t="n"/>
      <c r="E925" s="416" t="n"/>
      <c r="F925" s="416" t="n"/>
      <c r="G925" s="416" t="n"/>
      <c r="H925" s="417" t="n"/>
    </row>
    <row r="926" ht="15" customHeight="1" s="210">
      <c r="B926" s="419" t="n"/>
      <c r="C926" s="415" t="n"/>
      <c r="D926" s="416" t="n"/>
      <c r="E926" s="416" t="n"/>
      <c r="F926" s="416" t="n"/>
      <c r="G926" s="416" t="n"/>
      <c r="H926" s="417" t="n"/>
    </row>
    <row r="927" ht="15" customHeight="1" s="210">
      <c r="B927" s="419" t="n"/>
      <c r="C927" s="415" t="n"/>
      <c r="D927" s="416" t="n"/>
      <c r="E927" s="416" t="n"/>
      <c r="F927" s="416" t="n"/>
      <c r="G927" s="416" t="n"/>
      <c r="H927" s="417" t="n"/>
    </row>
    <row r="928" ht="15" customHeight="1" s="210">
      <c r="B928" s="419" t="n"/>
      <c r="C928" s="415" t="n"/>
      <c r="D928" s="416" t="n"/>
      <c r="E928" s="416" t="n"/>
      <c r="F928" s="416" t="n"/>
      <c r="G928" s="416" t="n"/>
      <c r="H928" s="417" t="n"/>
    </row>
    <row r="929" ht="15" customHeight="1" s="210">
      <c r="B929" s="419" t="n"/>
      <c r="C929" s="415" t="n"/>
      <c r="D929" s="416" t="n"/>
      <c r="E929" s="416" t="n"/>
      <c r="F929" s="416" t="n"/>
      <c r="G929" s="416" t="n"/>
      <c r="H929" s="417" t="n"/>
    </row>
    <row r="930" ht="15" customHeight="1" s="210">
      <c r="B930" s="419" t="n"/>
      <c r="C930" s="415" t="n"/>
      <c r="D930" s="416" t="n"/>
      <c r="E930" s="416" t="n"/>
      <c r="F930" s="416" t="n"/>
      <c r="G930" s="416" t="n"/>
      <c r="H930" s="417" t="n"/>
    </row>
    <row r="931" ht="15" customHeight="1" s="210">
      <c r="B931" s="419" t="n"/>
      <c r="C931" s="415" t="n"/>
      <c r="D931" s="416" t="n"/>
      <c r="E931" s="416" t="n"/>
      <c r="F931" s="416" t="n"/>
      <c r="G931" s="416" t="n"/>
      <c r="H931" s="417" t="n"/>
    </row>
    <row r="932" ht="15" customHeight="1" s="210">
      <c r="B932" s="419" t="n"/>
      <c r="C932" s="415" t="n"/>
      <c r="D932" s="416" t="n"/>
      <c r="E932" s="416" t="n"/>
      <c r="F932" s="416" t="n"/>
      <c r="G932" s="416" t="n"/>
      <c r="H932" s="417" t="n"/>
    </row>
    <row r="933" ht="15" customHeight="1" s="210">
      <c r="B933" s="419" t="n"/>
      <c r="C933" s="415" t="n"/>
      <c r="D933" s="416" t="n"/>
      <c r="E933" s="416" t="n"/>
      <c r="F933" s="416" t="n"/>
      <c r="G933" s="416" t="n"/>
      <c r="H933" s="417" t="n"/>
    </row>
    <row r="934" ht="15" customHeight="1" s="210">
      <c r="B934" s="419" t="n"/>
      <c r="C934" s="415" t="n"/>
      <c r="D934" s="416" t="n"/>
      <c r="E934" s="416" t="n"/>
      <c r="F934" s="416" t="n"/>
      <c r="G934" s="416" t="n"/>
      <c r="H934" s="417" t="n"/>
    </row>
    <row r="935" ht="15" customHeight="1" s="210">
      <c r="B935" s="419" t="n"/>
      <c r="C935" s="415" t="n"/>
      <c r="D935" s="416" t="n"/>
      <c r="E935" s="416" t="n"/>
      <c r="F935" s="416" t="n"/>
      <c r="G935" s="416" t="n"/>
      <c r="H935" s="417" t="n"/>
    </row>
    <row r="936" ht="15" customHeight="1" s="210">
      <c r="B936" s="419" t="n"/>
      <c r="C936" s="415" t="n"/>
      <c r="D936" s="416" t="n"/>
      <c r="E936" s="416" t="n"/>
      <c r="F936" s="416" t="n"/>
      <c r="G936" s="416" t="n"/>
      <c r="H936" s="417" t="n"/>
    </row>
    <row r="937" ht="15" customHeight="1" s="210">
      <c r="B937" s="419" t="n"/>
      <c r="C937" s="415" t="n"/>
      <c r="D937" s="416" t="n"/>
      <c r="E937" s="416" t="n"/>
      <c r="F937" s="416" t="n"/>
      <c r="G937" s="416" t="n"/>
      <c r="H937" s="417" t="n"/>
    </row>
    <row r="938" ht="15" customHeight="1" s="210">
      <c r="B938" s="419" t="n"/>
      <c r="C938" s="415" t="n"/>
      <c r="D938" s="416" t="n"/>
      <c r="E938" s="416" t="n"/>
      <c r="F938" s="416" t="n"/>
      <c r="G938" s="416" t="n"/>
      <c r="H938" s="417" t="n"/>
    </row>
    <row r="939" ht="15" customHeight="1" s="210">
      <c r="B939" s="419" t="n"/>
      <c r="C939" s="415" t="n"/>
      <c r="D939" s="416" t="n"/>
      <c r="E939" s="416" t="n"/>
      <c r="F939" s="416" t="n"/>
      <c r="G939" s="416" t="n"/>
      <c r="H939" s="417" t="n"/>
    </row>
    <row r="940" ht="15" customHeight="1" s="210">
      <c r="B940" s="419" t="n"/>
      <c r="C940" s="415" t="n"/>
      <c r="D940" s="416" t="n"/>
      <c r="E940" s="416" t="n"/>
      <c r="F940" s="416" t="n"/>
      <c r="G940" s="416" t="n"/>
      <c r="H940" s="417" t="n"/>
    </row>
    <row r="941" ht="15" customHeight="1" s="210">
      <c r="B941" s="419" t="n"/>
      <c r="C941" s="415" t="n"/>
      <c r="D941" s="416" t="n"/>
      <c r="E941" s="416" t="n"/>
      <c r="F941" s="416" t="n"/>
      <c r="G941" s="416" t="n"/>
      <c r="H941" s="417" t="n"/>
    </row>
    <row r="942" ht="15" customHeight="1" s="210">
      <c r="B942" s="419" t="n"/>
      <c r="C942" s="415" t="n"/>
      <c r="D942" s="416" t="n"/>
      <c r="E942" s="416" t="n"/>
      <c r="F942" s="416" t="n"/>
      <c r="G942" s="416" t="n"/>
      <c r="H942" s="417" t="n"/>
    </row>
    <row r="943" ht="15" customHeight="1" s="210">
      <c r="B943" s="419" t="n"/>
      <c r="C943" s="415" t="n"/>
      <c r="D943" s="416" t="n"/>
      <c r="E943" s="416" t="n"/>
      <c r="F943" s="416" t="n"/>
      <c r="G943" s="416" t="n"/>
      <c r="H943" s="417" t="n"/>
    </row>
    <row r="944" ht="15" customHeight="1" s="210">
      <c r="B944" s="419" t="n"/>
      <c r="C944" s="415" t="n"/>
      <c r="D944" s="416" t="n"/>
      <c r="E944" s="416" t="n"/>
      <c r="F944" s="416" t="n"/>
      <c r="G944" s="416" t="n"/>
      <c r="H944" s="417" t="n"/>
    </row>
    <row r="945" ht="15" customHeight="1" s="210">
      <c r="B945" s="419" t="n"/>
      <c r="C945" s="415" t="n"/>
      <c r="D945" s="416" t="n"/>
      <c r="E945" s="416" t="n"/>
      <c r="F945" s="416" t="n"/>
      <c r="G945" s="416" t="n"/>
      <c r="H945" s="417" t="n"/>
    </row>
    <row r="946" ht="15" customHeight="1" s="210">
      <c r="B946" s="419" t="n"/>
      <c r="C946" s="415" t="n"/>
      <c r="D946" s="416" t="n"/>
      <c r="E946" s="416" t="n"/>
      <c r="F946" s="416" t="n"/>
      <c r="G946" s="416" t="n"/>
      <c r="H946" s="417" t="n"/>
    </row>
    <row r="947" ht="15" customHeight="1" s="210">
      <c r="B947" s="419" t="n"/>
      <c r="C947" s="415" t="n"/>
      <c r="D947" s="416" t="n"/>
      <c r="E947" s="416" t="n"/>
      <c r="F947" s="416" t="n"/>
      <c r="G947" s="416" t="n"/>
      <c r="H947" s="417" t="n"/>
    </row>
    <row r="948" ht="15" customHeight="1" s="210">
      <c r="B948" s="419" t="n"/>
      <c r="C948" s="415" t="n"/>
      <c r="D948" s="416" t="n"/>
      <c r="E948" s="416" t="n"/>
      <c r="F948" s="416" t="n"/>
      <c r="G948" s="416" t="n"/>
      <c r="H948" s="417" t="n"/>
    </row>
    <row r="949" ht="15" customHeight="1" s="210">
      <c r="B949" s="419" t="n"/>
      <c r="C949" s="415" t="n"/>
      <c r="D949" s="416" t="n"/>
      <c r="E949" s="416" t="n"/>
      <c r="F949" s="416" t="n"/>
      <c r="G949" s="416" t="n"/>
      <c r="H949" s="417" t="n"/>
    </row>
    <row r="950" ht="15" customHeight="1" s="210">
      <c r="B950" s="419" t="n"/>
      <c r="C950" s="415" t="n"/>
      <c r="D950" s="416" t="n"/>
      <c r="E950" s="416" t="n"/>
      <c r="F950" s="416" t="n"/>
      <c r="G950" s="416" t="n"/>
      <c r="H950" s="417" t="n"/>
    </row>
    <row r="951" ht="15" customHeight="1" s="210">
      <c r="B951" s="419" t="n"/>
      <c r="C951" s="415" t="n"/>
      <c r="D951" s="416" t="n"/>
      <c r="E951" s="416" t="n"/>
      <c r="F951" s="416" t="n"/>
      <c r="G951" s="416" t="n"/>
      <c r="H951" s="417" t="n"/>
    </row>
    <row r="952" ht="15" customHeight="1" s="210">
      <c r="B952" s="419" t="n"/>
      <c r="C952" s="415" t="n"/>
      <c r="D952" s="416" t="n"/>
      <c r="E952" s="416" t="n"/>
      <c r="F952" s="416" t="n"/>
      <c r="G952" s="416" t="n"/>
      <c r="H952" s="417" t="n"/>
    </row>
    <row r="953" ht="15" customHeight="1" s="210">
      <c r="B953" s="419" t="n"/>
      <c r="C953" s="415" t="n"/>
      <c r="D953" s="416" t="n"/>
      <c r="E953" s="416" t="n"/>
      <c r="F953" s="416" t="n"/>
      <c r="G953" s="416" t="n"/>
      <c r="H953" s="417" t="n"/>
    </row>
    <row r="954" ht="15" customHeight="1" s="210">
      <c r="B954" s="419" t="n"/>
      <c r="C954" s="415" t="n"/>
      <c r="D954" s="416" t="n"/>
      <c r="E954" s="416" t="n"/>
      <c r="F954" s="416" t="n"/>
      <c r="G954" s="416" t="n"/>
      <c r="H954" s="417" t="n"/>
    </row>
    <row r="955" ht="15" customHeight="1" s="210">
      <c r="B955" s="419" t="n"/>
      <c r="C955" s="415" t="n"/>
      <c r="D955" s="416" t="n"/>
      <c r="E955" s="416" t="n"/>
      <c r="F955" s="416" t="n"/>
      <c r="G955" s="416" t="n"/>
      <c r="H955" s="417" t="n"/>
    </row>
    <row r="956" ht="15" customHeight="1" s="210">
      <c r="B956" s="419" t="n"/>
      <c r="C956" s="415" t="n"/>
      <c r="D956" s="416" t="n"/>
      <c r="E956" s="416" t="n"/>
      <c r="F956" s="416" t="n"/>
      <c r="G956" s="416" t="n"/>
      <c r="H956" s="417" t="n"/>
    </row>
    <row r="957" ht="15" customHeight="1" s="210">
      <c r="B957" s="419" t="n"/>
      <c r="C957" s="415" t="n"/>
      <c r="D957" s="416" t="n"/>
      <c r="E957" s="416" t="n"/>
      <c r="F957" s="416" t="n"/>
      <c r="G957" s="416" t="n"/>
      <c r="H957" s="417" t="n"/>
    </row>
    <row r="958" ht="15" customHeight="1" s="210">
      <c r="B958" s="419" t="n"/>
      <c r="C958" s="415" t="n"/>
      <c r="D958" s="416" t="n"/>
      <c r="E958" s="416" t="n"/>
      <c r="F958" s="416" t="n"/>
      <c r="G958" s="416" t="n"/>
      <c r="H958" s="417" t="n"/>
    </row>
    <row r="959" ht="15" customHeight="1" s="210">
      <c r="B959" s="419" t="n"/>
      <c r="C959" s="415" t="n"/>
      <c r="D959" s="416" t="n"/>
      <c r="E959" s="416" t="n"/>
      <c r="F959" s="416" t="n"/>
      <c r="G959" s="416" t="n"/>
      <c r="H959" s="417" t="n"/>
    </row>
    <row r="960" ht="15" customHeight="1" s="210">
      <c r="B960" s="419" t="n"/>
      <c r="C960" s="415" t="n"/>
      <c r="D960" s="416" t="n"/>
      <c r="E960" s="416" t="n"/>
      <c r="F960" s="416" t="n"/>
      <c r="G960" s="416" t="n"/>
      <c r="H960" s="417" t="n"/>
    </row>
    <row r="961" ht="15" customHeight="1" s="210">
      <c r="B961" s="419" t="n"/>
      <c r="C961" s="415" t="n"/>
      <c r="D961" s="416" t="n"/>
      <c r="E961" s="416" t="n"/>
      <c r="F961" s="416" t="n"/>
      <c r="G961" s="416" t="n"/>
      <c r="H961" s="417" t="n"/>
    </row>
    <row r="962" ht="15" customHeight="1" s="210">
      <c r="B962" s="419" t="n"/>
      <c r="C962" s="415" t="n"/>
      <c r="D962" s="416" t="n"/>
      <c r="E962" s="416" t="n"/>
      <c r="F962" s="416" t="n"/>
      <c r="G962" s="416" t="n"/>
      <c r="H962" s="417" t="n"/>
    </row>
    <row r="963" ht="15" customHeight="1" s="210">
      <c r="B963" s="419" t="n"/>
      <c r="C963" s="415" t="n"/>
      <c r="D963" s="416" t="n"/>
      <c r="E963" s="416" t="n"/>
      <c r="F963" s="416" t="n"/>
      <c r="G963" s="416" t="n"/>
      <c r="H963" s="417" t="n"/>
    </row>
    <row r="964" ht="15" customHeight="1" s="210">
      <c r="B964" s="419" t="n"/>
      <c r="C964" s="415" t="n"/>
      <c r="D964" s="416" t="n"/>
      <c r="E964" s="416" t="n"/>
      <c r="F964" s="416" t="n"/>
      <c r="G964" s="416" t="n"/>
      <c r="H964" s="417" t="n"/>
    </row>
    <row r="965" ht="15" customHeight="1" s="210">
      <c r="B965" s="419" t="n"/>
      <c r="C965" s="415" t="n"/>
      <c r="D965" s="416" t="n"/>
      <c r="E965" s="416" t="n"/>
      <c r="F965" s="416" t="n"/>
      <c r="G965" s="416" t="n"/>
      <c r="H965" s="417" t="n"/>
    </row>
    <row r="966" ht="15" customHeight="1" s="210">
      <c r="B966" s="419" t="n"/>
      <c r="C966" s="415" t="n"/>
      <c r="D966" s="416" t="n"/>
      <c r="E966" s="416" t="n"/>
      <c r="F966" s="416" t="n"/>
      <c r="G966" s="416" t="n"/>
      <c r="H966" s="417" t="n"/>
    </row>
    <row r="967" ht="15" customHeight="1" s="210">
      <c r="B967" s="419" t="n"/>
      <c r="C967" s="415" t="n"/>
      <c r="D967" s="416" t="n"/>
      <c r="E967" s="416" t="n"/>
      <c r="F967" s="416" t="n"/>
      <c r="G967" s="416" t="n"/>
      <c r="H967" s="417" t="n"/>
    </row>
    <row r="968" ht="15" customHeight="1" s="210">
      <c r="B968" s="419" t="n"/>
      <c r="C968" s="415" t="n"/>
      <c r="D968" s="416" t="n"/>
      <c r="E968" s="416" t="n"/>
      <c r="F968" s="416" t="n"/>
      <c r="G968" s="416" t="n"/>
      <c r="H968" s="417" t="n"/>
    </row>
    <row r="969" ht="15" customHeight="1" s="210">
      <c r="B969" s="419" t="n"/>
      <c r="C969" s="415" t="n"/>
      <c r="D969" s="416" t="n"/>
      <c r="E969" s="416" t="n"/>
      <c r="F969" s="416" t="n"/>
      <c r="G969" s="416" t="n"/>
      <c r="H969" s="417" t="n"/>
    </row>
    <row r="970" ht="15" customHeight="1" s="210">
      <c r="B970" s="419" t="n"/>
      <c r="C970" s="415" t="n"/>
      <c r="D970" s="416" t="n"/>
      <c r="E970" s="416" t="n"/>
      <c r="F970" s="416" t="n"/>
      <c r="G970" s="416" t="n"/>
      <c r="H970" s="417" t="n"/>
    </row>
    <row r="971" ht="15" customHeight="1" s="210">
      <c r="B971" s="419" t="n"/>
      <c r="C971" s="415" t="n"/>
      <c r="D971" s="416" t="n"/>
      <c r="E971" s="416" t="n"/>
      <c r="F971" s="416" t="n"/>
      <c r="G971" s="416" t="n"/>
      <c r="H971" s="417" t="n"/>
    </row>
    <row r="972" ht="15" customHeight="1" s="210">
      <c r="B972" s="419" t="n"/>
      <c r="C972" s="415" t="n"/>
      <c r="D972" s="416" t="n"/>
      <c r="E972" s="416" t="n"/>
      <c r="F972" s="416" t="n"/>
      <c r="G972" s="416" t="n"/>
      <c r="H972" s="417" t="n"/>
    </row>
    <row r="973" ht="15" customHeight="1" s="210">
      <c r="B973" s="419" t="n"/>
      <c r="C973" s="415" t="n"/>
      <c r="D973" s="416" t="n"/>
      <c r="E973" s="416" t="n"/>
      <c r="F973" s="416" t="n"/>
      <c r="G973" s="416" t="n"/>
      <c r="H973" s="417" t="n"/>
    </row>
    <row r="974" ht="15" customHeight="1" s="210">
      <c r="B974" s="419" t="n"/>
      <c r="C974" s="415" t="n"/>
      <c r="D974" s="416" t="n"/>
      <c r="E974" s="416" t="n"/>
      <c r="F974" s="416" t="n"/>
      <c r="G974" s="416" t="n"/>
      <c r="H974" s="417" t="n"/>
    </row>
    <row r="975" ht="15" customHeight="1" s="210">
      <c r="B975" s="419" t="n"/>
      <c r="C975" s="415" t="n"/>
      <c r="D975" s="416" t="n"/>
      <c r="E975" s="416" t="n"/>
      <c r="F975" s="416" t="n"/>
      <c r="G975" s="416" t="n"/>
      <c r="H975" s="417" t="n"/>
    </row>
    <row r="976" ht="15" customHeight="1" s="210">
      <c r="B976" s="419" t="n"/>
      <c r="C976" s="415" t="n"/>
      <c r="D976" s="416" t="n"/>
      <c r="E976" s="416" t="n"/>
      <c r="F976" s="416" t="n"/>
      <c r="G976" s="416" t="n"/>
      <c r="H976" s="417" t="n"/>
    </row>
    <row r="977" ht="15" customHeight="1" s="210">
      <c r="B977" s="419" t="n"/>
      <c r="C977" s="415" t="n"/>
      <c r="D977" s="416" t="n"/>
      <c r="E977" s="416" t="n"/>
      <c r="F977" s="416" t="n"/>
      <c r="G977" s="416" t="n"/>
      <c r="H977" s="417" t="n"/>
    </row>
    <row r="978" ht="15" customHeight="1" s="210">
      <c r="B978" s="419" t="n"/>
      <c r="C978" s="415" t="n"/>
      <c r="D978" s="416" t="n"/>
      <c r="E978" s="416" t="n"/>
      <c r="F978" s="416" t="n"/>
      <c r="G978" s="416" t="n"/>
      <c r="H978" s="417" t="n"/>
    </row>
    <row r="979" ht="15" customHeight="1" s="210">
      <c r="B979" s="419" t="n"/>
      <c r="C979" s="415" t="n"/>
      <c r="D979" s="416" t="n"/>
      <c r="E979" s="416" t="n"/>
      <c r="F979" s="416" t="n"/>
      <c r="G979" s="416" t="n"/>
      <c r="H979" s="417" t="n"/>
    </row>
    <row r="980" ht="15" customHeight="1" s="210">
      <c r="B980" s="419" t="n"/>
      <c r="C980" s="415" t="n"/>
      <c r="D980" s="416" t="n"/>
      <c r="E980" s="416" t="n"/>
      <c r="F980" s="416" t="n"/>
      <c r="G980" s="416" t="n"/>
      <c r="H980" s="417" t="n"/>
    </row>
    <row r="981" ht="15" customHeight="1" s="210">
      <c r="B981" s="419" t="n"/>
      <c r="C981" s="415" t="n"/>
      <c r="D981" s="416" t="n"/>
      <c r="E981" s="416" t="n"/>
      <c r="F981" s="416" t="n"/>
      <c r="G981" s="416" t="n"/>
      <c r="H981" s="417" t="n"/>
    </row>
    <row r="982" ht="15" customHeight="1" s="210">
      <c r="B982" s="419" t="n"/>
      <c r="C982" s="415" t="n"/>
      <c r="D982" s="416" t="n"/>
      <c r="E982" s="416" t="n"/>
      <c r="F982" s="416" t="n"/>
      <c r="G982" s="416" t="n"/>
      <c r="H982" s="417" t="n"/>
    </row>
    <row r="983" ht="15" customHeight="1" s="210">
      <c r="B983" s="419" t="n"/>
      <c r="C983" s="415" t="n"/>
      <c r="D983" s="416" t="n"/>
      <c r="E983" s="416" t="n"/>
      <c r="F983" s="416" t="n"/>
      <c r="G983" s="416" t="n"/>
      <c r="H983" s="417" t="n"/>
    </row>
    <row r="984" ht="15" customHeight="1" s="210">
      <c r="B984" s="419" t="n"/>
      <c r="C984" s="415" t="n"/>
      <c r="D984" s="416" t="n"/>
      <c r="E984" s="416" t="n"/>
      <c r="F984" s="416" t="n"/>
      <c r="G984" s="416" t="n"/>
      <c r="H984" s="417" t="n"/>
    </row>
    <row r="985" ht="15" customHeight="1" s="210">
      <c r="B985" s="419" t="n"/>
      <c r="C985" s="415" t="n"/>
      <c r="D985" s="416" t="n"/>
      <c r="E985" s="416" t="n"/>
      <c r="F985" s="416" t="n"/>
      <c r="G985" s="416" t="n"/>
      <c r="H985" s="417" t="n"/>
    </row>
    <row r="986" ht="15" customHeight="1" s="210">
      <c r="B986" s="419" t="n"/>
      <c r="C986" s="415" t="n"/>
      <c r="D986" s="416" t="n"/>
      <c r="E986" s="416" t="n"/>
      <c r="F986" s="416" t="n"/>
      <c r="G986" s="416" t="n"/>
      <c r="H986" s="417" t="n"/>
    </row>
    <row r="987" ht="15" customHeight="1" s="210">
      <c r="B987" s="419" t="n"/>
      <c r="C987" s="415" t="n"/>
      <c r="D987" s="416" t="n"/>
      <c r="E987" s="416" t="n"/>
      <c r="F987" s="416" t="n"/>
      <c r="G987" s="416" t="n"/>
      <c r="H987" s="417" t="n"/>
    </row>
    <row r="988" ht="15" customHeight="1" s="210">
      <c r="B988" s="419" t="n"/>
      <c r="C988" s="415" t="n"/>
      <c r="D988" s="416" t="n"/>
      <c r="E988" s="416" t="n"/>
      <c r="F988" s="416" t="n"/>
      <c r="G988" s="416" t="n"/>
      <c r="H988" s="417" t="n"/>
    </row>
    <row r="989" ht="15" customHeight="1" s="210">
      <c r="B989" s="419" t="n"/>
      <c r="C989" s="415" t="n"/>
      <c r="D989" s="416" t="n"/>
      <c r="E989" s="416" t="n"/>
      <c r="F989" s="416" t="n"/>
      <c r="G989" s="416" t="n"/>
      <c r="H989" s="417" t="n"/>
    </row>
    <row r="990" ht="15" customHeight="1" s="210">
      <c r="B990" s="419" t="n"/>
      <c r="C990" s="415" t="n"/>
      <c r="D990" s="416" t="n"/>
      <c r="E990" s="416" t="n"/>
      <c r="F990" s="416" t="n"/>
      <c r="G990" s="416" t="n"/>
      <c r="H990" s="417" t="n"/>
    </row>
    <row r="991" ht="15" customHeight="1" s="210">
      <c r="B991" s="419" t="n"/>
      <c r="C991" s="415" t="n"/>
      <c r="D991" s="416" t="n"/>
      <c r="E991" s="416" t="n"/>
      <c r="F991" s="416" t="n"/>
      <c r="G991" s="416" t="n"/>
      <c r="H991" s="417" t="n"/>
    </row>
    <row r="992" ht="15" customHeight="1" s="210">
      <c r="B992" s="419" t="n"/>
      <c r="C992" s="415" t="n"/>
      <c r="D992" s="416" t="n"/>
      <c r="E992" s="416" t="n"/>
      <c r="F992" s="416" t="n"/>
      <c r="G992" s="416" t="n"/>
      <c r="H992" s="417" t="n"/>
    </row>
    <row r="993" ht="15" customHeight="1" s="210">
      <c r="B993" s="419" t="n"/>
      <c r="C993" s="415" t="n"/>
      <c r="D993" s="416" t="n"/>
      <c r="E993" s="416" t="n"/>
      <c r="F993" s="416" t="n"/>
      <c r="G993" s="416" t="n"/>
      <c r="H993" s="417" t="n"/>
    </row>
    <row r="994" ht="15" customHeight="1" s="210">
      <c r="B994" s="419" t="n"/>
      <c r="C994" s="415" t="n"/>
      <c r="D994" s="416" t="n"/>
      <c r="E994" s="416" t="n"/>
      <c r="F994" s="416" t="n"/>
      <c r="G994" s="416" t="n"/>
      <c r="H994" s="417" t="n"/>
    </row>
    <row r="995" ht="15" customHeight="1" s="210">
      <c r="B995" s="419" t="n"/>
      <c r="C995" s="415" t="n"/>
      <c r="D995" s="416" t="n"/>
      <c r="E995" s="416" t="n"/>
      <c r="F995" s="416" t="n"/>
      <c r="G995" s="416" t="n"/>
      <c r="H995" s="417" t="n"/>
    </row>
    <row r="996" ht="15" customHeight="1" s="210">
      <c r="B996" s="419" t="n"/>
      <c r="C996" s="415" t="n"/>
      <c r="D996" s="416" t="n"/>
      <c r="E996" s="416" t="n"/>
      <c r="F996" s="416" t="n"/>
      <c r="G996" s="416" t="n"/>
      <c r="H996" s="417" t="n"/>
    </row>
    <row r="997" ht="15" customHeight="1" s="210">
      <c r="B997" s="419" t="n"/>
      <c r="C997" s="415" t="n"/>
      <c r="D997" s="416" t="n"/>
      <c r="E997" s="416" t="n"/>
      <c r="F997" s="416" t="n"/>
      <c r="G997" s="416" t="n"/>
      <c r="H997" s="417" t="n"/>
    </row>
    <row r="998" ht="15" customHeight="1" s="210">
      <c r="B998" s="419" t="n"/>
      <c r="C998" s="415" t="n"/>
      <c r="D998" s="416" t="n"/>
      <c r="E998" s="416" t="n"/>
      <c r="F998" s="416" t="n"/>
      <c r="G998" s="416" t="n"/>
      <c r="H998" s="417" t="n"/>
    </row>
    <row r="999" ht="15" customHeight="1" s="210">
      <c r="B999" s="419" t="n"/>
      <c r="C999" s="415" t="n"/>
      <c r="D999" s="416" t="n"/>
      <c r="E999" s="416" t="n"/>
      <c r="F999" s="416" t="n"/>
      <c r="G999" s="416" t="n"/>
      <c r="H999" s="417" t="n"/>
    </row>
    <row r="1000" ht="15" customHeight="1" s="210">
      <c r="B1000" s="419" t="n"/>
      <c r="C1000" s="415" t="n"/>
      <c r="D1000" s="416" t="n"/>
      <c r="E1000" s="416" t="n"/>
      <c r="F1000" s="416" t="n"/>
      <c r="G1000" s="416" t="n"/>
      <c r="H1000" s="417" t="n"/>
    </row>
    <row r="1001" ht="15" customHeight="1" s="210">
      <c r="B1001" s="419" t="n"/>
      <c r="C1001" s="415" t="n"/>
      <c r="D1001" s="416" t="n"/>
      <c r="E1001" s="416" t="n"/>
      <c r="F1001" s="416" t="n"/>
      <c r="G1001" s="416" t="n"/>
      <c r="H1001" s="417" t="n"/>
    </row>
    <row r="1002" ht="15" customHeight="1" s="210">
      <c r="B1002" s="419" t="n"/>
      <c r="C1002" s="415" t="n"/>
      <c r="D1002" s="416" t="n"/>
      <c r="E1002" s="416" t="n"/>
      <c r="F1002" s="416" t="n"/>
      <c r="G1002" s="416" t="n"/>
      <c r="H1002" s="417" t="n"/>
    </row>
  </sheetData>
  <autoFilter ref="A1:H129">
    <sortState ref="A2:H129">
      <sortCondition ref="A2:A129" customList=""/>
    </sortState>
  </autoFilter>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G16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75" activePane="bottomLeft" state="frozen"/>
      <selection pane="topLeft" activeCell="A1" activeCellId="0" sqref="A1"/>
      <selection pane="bottomLeft" activeCell="E121" activeCellId="0" sqref="E121"/>
    </sheetView>
  </sheetViews>
  <sheetFormatPr baseColWidth="8" defaultColWidth="8.66796875" defaultRowHeight="15" zeroHeight="0" outlineLevelRow="0"/>
  <cols>
    <col width="8" customWidth="1" style="209" min="1" max="1"/>
    <col width="13" customWidth="1" style="209" min="2" max="2"/>
    <col width="46" customWidth="1" style="209" min="3" max="3"/>
    <col width="40" customWidth="1" style="209" min="4" max="5"/>
    <col width="46" customWidth="1" style="209" min="6" max="6"/>
    <col width="70" customWidth="1" style="209" min="7" max="7"/>
  </cols>
  <sheetData>
    <row r="1" ht="31.5" customHeight="1" s="210">
      <c r="A1" s="349" t="inlineStr">
        <is>
          <t>ID</t>
        </is>
      </c>
      <c r="B1" s="349" t="inlineStr">
        <is>
          <t>Level</t>
        </is>
      </c>
      <c r="C1" s="349" t="inlineStr">
        <is>
          <t>Name</t>
        </is>
      </c>
      <c r="D1" s="349" t="inlineStr">
        <is>
          <t>Key Service (for Programs)</t>
        </is>
      </c>
      <c r="E1" s="349" t="inlineStr">
        <is>
          <t>Work System</t>
        </is>
      </c>
      <c r="F1" s="349" t="inlineStr">
        <is>
          <t>Goal (for Objectives)</t>
        </is>
      </c>
      <c r="G1" s="349" t="inlineStr">
        <is>
          <t>Description</t>
        </is>
      </c>
    </row>
    <row r="2" ht="15" customHeight="1" s="210">
      <c r="A2" s="419" t="inlineStr">
        <is>
          <t>ws1</t>
        </is>
      </c>
      <c r="B2" s="419" t="inlineStr">
        <is>
          <t>Work System</t>
        </is>
      </c>
      <c r="C2" s="419" t="inlineStr">
        <is>
          <t>Leadership and Governance</t>
        </is>
      </c>
      <c r="D2" s="419" t="n"/>
      <c r="E2" s="419" t="n"/>
      <c r="F2" s="419" t="n"/>
    </row>
    <row r="3" ht="15" customHeight="1" s="210">
      <c r="A3" s="419" t="inlineStr">
        <is>
          <t>ws2</t>
        </is>
      </c>
      <c r="B3" s="419" t="inlineStr">
        <is>
          <t>Work System</t>
        </is>
      </c>
      <c r="C3" s="419" t="inlineStr">
        <is>
          <t>Financial and Internal Services</t>
        </is>
      </c>
      <c r="D3" s="419" t="n"/>
      <c r="E3" s="419" t="n"/>
      <c r="F3" s="419" t="n"/>
    </row>
    <row r="4" ht="15" customHeight="1" s="210">
      <c r="A4" s="419" t="inlineStr">
        <is>
          <t>ws3</t>
        </is>
      </c>
      <c r="B4" s="419" t="inlineStr">
        <is>
          <t>Work System</t>
        </is>
      </c>
      <c r="C4" s="419" t="inlineStr">
        <is>
          <t>Community Growth and Economic Vitality</t>
        </is>
      </c>
      <c r="D4" s="419" t="n"/>
      <c r="E4" s="419" t="n"/>
      <c r="F4" s="419" t="n"/>
    </row>
    <row r="5" ht="15" customHeight="1" s="210">
      <c r="A5" s="419" t="inlineStr">
        <is>
          <t>ws4</t>
        </is>
      </c>
      <c r="B5" s="419" t="inlineStr">
        <is>
          <t>Work System</t>
        </is>
      </c>
      <c r="C5" s="419" t="inlineStr">
        <is>
          <t>Public Safety</t>
        </is>
      </c>
      <c r="D5" s="419" t="n"/>
      <c r="E5" s="419" t="n"/>
      <c r="F5" s="419" t="n"/>
    </row>
    <row r="6" ht="15" customHeight="1" s="210">
      <c r="A6" s="419" t="inlineStr">
        <is>
          <t>ws5</t>
        </is>
      </c>
      <c r="B6" s="419" t="inlineStr">
        <is>
          <t>Work System</t>
        </is>
      </c>
      <c r="C6" s="419" t="inlineStr">
        <is>
          <t>Infrastructure</t>
        </is>
      </c>
      <c r="D6" s="419" t="n"/>
      <c r="E6" s="419" t="n"/>
      <c r="F6" s="419" t="n"/>
    </row>
    <row r="7" ht="15" customHeight="1" s="210">
      <c r="A7" s="419" t="inlineStr">
        <is>
          <t>ws6</t>
        </is>
      </c>
      <c r="B7" s="419" t="inlineStr">
        <is>
          <t>Work System</t>
        </is>
      </c>
      <c r="C7" s="419" t="inlineStr">
        <is>
          <t>Parks, Recreation and Cultural Services</t>
        </is>
      </c>
      <c r="D7" s="419" t="n"/>
      <c r="E7" s="419" t="n"/>
      <c r="F7" s="419" t="n"/>
    </row>
    <row r="8" ht="15" customHeight="1" s="210">
      <c r="A8" s="419" t="inlineStr">
        <is>
          <t>ks1</t>
        </is>
      </c>
      <c r="B8" s="419" t="inlineStr">
        <is>
          <t>Key Service</t>
        </is>
      </c>
      <c r="C8" s="419" t="inlineStr">
        <is>
          <t>Administrative Leadership &amp; Governance</t>
        </is>
      </c>
      <c r="D8" s="419" t="n"/>
      <c r="E8" s="419" t="inlineStr">
        <is>
          <t>Leadership and Governance</t>
        </is>
      </c>
      <c r="F8" s="419" t="n"/>
    </row>
    <row r="9" ht="15" customHeight="1" s="210">
      <c r="A9" s="419" t="inlineStr">
        <is>
          <t>ks2</t>
        </is>
      </c>
      <c r="B9" s="419" t="inlineStr">
        <is>
          <t>Key Service</t>
        </is>
      </c>
      <c r="C9" s="419" t="inlineStr">
        <is>
          <t>City Clerk &amp; Records Management</t>
        </is>
      </c>
      <c r="D9" s="419" t="n"/>
      <c r="E9" s="419" t="inlineStr">
        <is>
          <t>Leadership and Governance</t>
        </is>
      </c>
      <c r="F9" s="419" t="n"/>
    </row>
    <row r="10" ht="15" customHeight="1" s="210">
      <c r="A10" s="419" t="inlineStr">
        <is>
          <t>ks3</t>
        </is>
      </c>
      <c r="B10" s="419" t="inlineStr">
        <is>
          <t>Key Service</t>
        </is>
      </c>
      <c r="C10" s="419" t="inlineStr">
        <is>
          <t>Public Information &amp; Community Engagement</t>
        </is>
      </c>
      <c r="D10" s="419" t="n"/>
      <c r="E10" s="419" t="inlineStr">
        <is>
          <t>Leadership and Governance</t>
        </is>
      </c>
      <c r="F10" s="419" t="n"/>
    </row>
    <row r="11" ht="15" customHeight="1" s="210">
      <c r="A11" s="419" t="inlineStr">
        <is>
          <t>ks4</t>
        </is>
      </c>
      <c r="B11" s="419" t="inlineStr">
        <is>
          <t>Key Service</t>
        </is>
      </c>
      <c r="C11" s="419" t="inlineStr">
        <is>
          <t>Financial Management &amp; Accountability</t>
        </is>
      </c>
      <c r="D11" s="419" t="n"/>
      <c r="E11" s="419" t="inlineStr">
        <is>
          <t>Financial and Internal Services</t>
        </is>
      </c>
      <c r="F11" s="419" t="n"/>
    </row>
    <row r="12" ht="15" customHeight="1" s="210">
      <c r="A12" s="419" t="inlineStr">
        <is>
          <t>ks5</t>
        </is>
      </c>
      <c r="B12" s="419" t="inlineStr">
        <is>
          <t>Key Service</t>
        </is>
      </c>
      <c r="C12" s="419" t="inlineStr">
        <is>
          <t>Human Resources &amp; Workforce Development</t>
        </is>
      </c>
      <c r="D12" s="419" t="n"/>
      <c r="E12" s="419" t="inlineStr">
        <is>
          <t>Financial and Internal Services</t>
        </is>
      </c>
      <c r="F12" s="419" t="n"/>
    </row>
    <row r="13" ht="15" customHeight="1" s="210">
      <c r="A13" s="419" t="inlineStr">
        <is>
          <t>ks6</t>
        </is>
      </c>
      <c r="B13" s="419" t="inlineStr">
        <is>
          <t>Key Service</t>
        </is>
      </c>
      <c r="C13" s="419" t="inlineStr">
        <is>
          <t>Legal Services</t>
        </is>
      </c>
      <c r="D13" s="419" t="n"/>
      <c r="E13" s="419" t="inlineStr">
        <is>
          <t>Financial and Internal Services</t>
        </is>
      </c>
      <c r="F13" s="419" t="n"/>
    </row>
    <row r="14" ht="15" customHeight="1" s="210">
      <c r="A14" s="419" t="inlineStr">
        <is>
          <t>ks7</t>
        </is>
      </c>
      <c r="B14" s="419" t="inlineStr">
        <is>
          <t>Key Service</t>
        </is>
      </c>
      <c r="C14" s="419" t="inlineStr">
        <is>
          <t>Information Technology Services</t>
        </is>
      </c>
      <c r="D14" s="419" t="n"/>
      <c r="E14" s="419" t="inlineStr">
        <is>
          <t>Financial and Internal Services</t>
        </is>
      </c>
      <c r="F14" s="419" t="n"/>
    </row>
    <row r="15" ht="15" customHeight="1" s="210">
      <c r="A15" s="419" t="inlineStr">
        <is>
          <t>ks8</t>
        </is>
      </c>
      <c r="B15" s="419" t="inlineStr">
        <is>
          <t>Key Service</t>
        </is>
      </c>
      <c r="C15" s="419" t="inlineStr">
        <is>
          <t>Community Development &amp; Planning</t>
        </is>
      </c>
      <c r="D15" s="419" t="n"/>
      <c r="E15" s="419" t="inlineStr">
        <is>
          <t>Community Growth and Economic Vitality</t>
        </is>
      </c>
      <c r="F15" s="419" t="n"/>
    </row>
    <row r="16" ht="15" customHeight="1" s="210">
      <c r="A16" s="419" t="inlineStr">
        <is>
          <t>ks9</t>
        </is>
      </c>
      <c r="B16" s="419" t="inlineStr">
        <is>
          <t>Key Service</t>
        </is>
      </c>
      <c r="C16" s="419" t="inlineStr">
        <is>
          <t>Economic Prosperity &amp; Business Support</t>
        </is>
      </c>
      <c r="D16" s="419" t="n"/>
      <c r="E16" s="419" t="inlineStr">
        <is>
          <t>Community Growth and Economic Vitality</t>
        </is>
      </c>
      <c r="F16" s="419" t="n"/>
    </row>
    <row r="17" ht="15" customHeight="1" s="210">
      <c r="A17" s="419" t="inlineStr">
        <is>
          <t>ks10</t>
        </is>
      </c>
      <c r="B17" s="419" t="inlineStr">
        <is>
          <t>Key Service</t>
        </is>
      </c>
      <c r="C17" s="419" t="inlineStr">
        <is>
          <t>Sustainability &amp; Environmental Stewardship</t>
        </is>
      </c>
      <c r="D17" s="419" t="n"/>
      <c r="E17" s="419" t="inlineStr">
        <is>
          <t>Community Growth and Economic Vitality</t>
        </is>
      </c>
      <c r="F17" s="419" t="n"/>
    </row>
    <row r="18" ht="15" customHeight="1" s="210">
      <c r="A18" s="419" t="inlineStr">
        <is>
          <t>ks11</t>
        </is>
      </c>
      <c r="B18" s="419" t="inlineStr">
        <is>
          <t>Key Service</t>
        </is>
      </c>
      <c r="C18" s="419" t="inlineStr">
        <is>
          <t>Public Safety Services</t>
        </is>
      </c>
      <c r="D18" s="419" t="n"/>
      <c r="E18" s="419" t="inlineStr">
        <is>
          <t>Public Safety</t>
        </is>
      </c>
      <c r="F18" s="419" t="n"/>
    </row>
    <row r="19" ht="15" customHeight="1" s="210">
      <c r="A19" s="419" t="inlineStr">
        <is>
          <t>ks12</t>
        </is>
      </c>
      <c r="B19" s="419" t="inlineStr">
        <is>
          <t>Key Service</t>
        </is>
      </c>
      <c r="C19" s="419" t="inlineStr">
        <is>
          <t>Municipal Court</t>
        </is>
      </c>
      <c r="D19" s="419" t="n"/>
      <c r="E19" s="419" t="inlineStr">
        <is>
          <t>Public Safety</t>
        </is>
      </c>
      <c r="F19" s="419" t="n"/>
    </row>
    <row r="20" ht="15" customHeight="1" s="210">
      <c r="A20" s="419" t="inlineStr">
        <is>
          <t>ks13</t>
        </is>
      </c>
      <c r="B20" s="419" t="inlineStr">
        <is>
          <t>Key Service</t>
        </is>
      </c>
      <c r="C20" s="419" t="inlineStr">
        <is>
          <t>Public Works &amp; Municipal Services</t>
        </is>
      </c>
      <c r="D20" s="419" t="n"/>
      <c r="E20" s="419" t="inlineStr">
        <is>
          <t>Infrastructure</t>
        </is>
      </c>
      <c r="F20" s="419" t="n"/>
    </row>
    <row r="21" ht="15" customHeight="1" s="210">
      <c r="A21" s="419" t="inlineStr">
        <is>
          <t>ks14</t>
        </is>
      </c>
      <c r="B21" s="419" t="inlineStr">
        <is>
          <t>Key Service</t>
        </is>
      </c>
      <c r="C21" s="419" t="inlineStr">
        <is>
          <t>Transit Services</t>
        </is>
      </c>
      <c r="D21" s="419" t="n"/>
      <c r="E21" s="419" t="inlineStr">
        <is>
          <t>Infrastructure</t>
        </is>
      </c>
      <c r="F21" s="419" t="n"/>
    </row>
    <row r="22" ht="15" customHeight="1" s="210">
      <c r="A22" s="419" t="inlineStr">
        <is>
          <t>ks15</t>
        </is>
      </c>
      <c r="B22" s="419" t="inlineStr">
        <is>
          <t>Key Service</t>
        </is>
      </c>
      <c r="C22" s="419" t="inlineStr">
        <is>
          <t>Asset Management</t>
        </is>
      </c>
      <c r="D22" s="419" t="n"/>
      <c r="E22" s="419" t="inlineStr">
        <is>
          <t>Infrastructure</t>
        </is>
      </c>
      <c r="F22" s="419" t="n"/>
    </row>
    <row r="23" ht="15" customHeight="1" s="210">
      <c r="A23" s="419" t="inlineStr">
        <is>
          <t>ks16</t>
        </is>
      </c>
      <c r="B23" s="419" t="inlineStr">
        <is>
          <t>Key Service</t>
        </is>
      </c>
      <c r="C23" s="419" t="inlineStr">
        <is>
          <t>Airport Operations</t>
        </is>
      </c>
      <c r="D23" s="419" t="n"/>
      <c r="E23" s="419" t="inlineStr">
        <is>
          <t>Infrastructure</t>
        </is>
      </c>
      <c r="F23" s="419" t="n"/>
    </row>
    <row r="24" ht="15" customHeight="1" s="210">
      <c r="A24" s="419" t="inlineStr">
        <is>
          <t>ks17</t>
        </is>
      </c>
      <c r="B24" s="419" t="inlineStr">
        <is>
          <t>Key Service</t>
        </is>
      </c>
      <c r="C24" s="419" t="inlineStr">
        <is>
          <t>Library &amp; Learning Services</t>
        </is>
      </c>
      <c r="D24" s="419" t="n"/>
      <c r="E24" s="419" t="inlineStr">
        <is>
          <t>Parks, Recreation and Cultural Services</t>
        </is>
      </c>
      <c r="F24" s="419" t="n"/>
    </row>
    <row r="25" ht="15" customHeight="1" s="210">
      <c r="A25" s="419" t="inlineStr">
        <is>
          <t>ks18</t>
        </is>
      </c>
      <c r="B25" s="419" t="inlineStr">
        <is>
          <t>Key Service</t>
        </is>
      </c>
      <c r="C25" s="419" t="inlineStr">
        <is>
          <t>Parks &amp; Open Space Management</t>
        </is>
      </c>
      <c r="D25" s="419" t="n"/>
      <c r="E25" s="419" t="inlineStr">
        <is>
          <t>Parks, Recreation and Cultural Services</t>
        </is>
      </c>
      <c r="F25" s="419" t="n"/>
    </row>
    <row r="26" ht="15" customHeight="1" s="210">
      <c r="A26" s="419" t="inlineStr">
        <is>
          <t>ks20</t>
        </is>
      </c>
      <c r="B26" s="419" t="inlineStr">
        <is>
          <t>Key Service</t>
        </is>
      </c>
      <c r="C26" s="419" t="inlineStr">
        <is>
          <t>Recreation &amp; Community Programs</t>
        </is>
      </c>
      <c r="D26" s="419" t="n"/>
      <c r="E26" s="419" t="inlineStr">
        <is>
          <t>Parks, Recreation and Cultural Services</t>
        </is>
      </c>
      <c r="F26" s="419" t="n"/>
    </row>
    <row r="27" ht="15" customHeight="1" s="210">
      <c r="A27" s="419" t="inlineStr">
        <is>
          <t>p2</t>
        </is>
      </c>
      <c r="B27" s="419" t="inlineStr">
        <is>
          <t>Program</t>
        </is>
      </c>
      <c r="C27" s="419" t="inlineStr">
        <is>
          <t>Strategic Planning</t>
        </is>
      </c>
      <c r="D27" s="419" t="inlineStr">
        <is>
          <t>Administrative Leadership &amp; Governance</t>
        </is>
      </c>
      <c r="E27" s="419" t="inlineStr">
        <is>
          <t>Leadership and Governance</t>
        </is>
      </c>
      <c r="F27" s="419" t="n"/>
    </row>
    <row r="28" ht="15" customHeight="1" s="210">
      <c r="A28" s="419" t="inlineStr">
        <is>
          <t>p3</t>
        </is>
      </c>
      <c r="B28" s="419" t="inlineStr">
        <is>
          <t>Program</t>
        </is>
      </c>
      <c r="C28" s="419" t="inlineStr">
        <is>
          <t>Organizational Performance Management</t>
        </is>
      </c>
      <c r="D28" s="419" t="inlineStr">
        <is>
          <t>Administrative Leadership &amp; Governance</t>
        </is>
      </c>
      <c r="E28" s="419" t="inlineStr">
        <is>
          <t>Leadership and Governance</t>
        </is>
      </c>
      <c r="F28" s="419" t="n"/>
    </row>
    <row r="29" ht="15" customHeight="1" s="210">
      <c r="A29" s="419" t="inlineStr">
        <is>
          <t>p4</t>
        </is>
      </c>
      <c r="B29" s="419" t="inlineStr">
        <is>
          <t>Program</t>
        </is>
      </c>
      <c r="C29" s="419" t="inlineStr">
        <is>
          <t>Compliance Oversight</t>
        </is>
      </c>
      <c r="D29" s="419" t="inlineStr">
        <is>
          <t>Administrative Leadership &amp; Governance</t>
        </is>
      </c>
      <c r="E29" s="419" t="inlineStr">
        <is>
          <t>Leadership and Governance</t>
        </is>
      </c>
      <c r="F29" s="419" t="n"/>
    </row>
    <row r="30" ht="15" customHeight="1" s="210">
      <c r="A30" s="419" t="inlineStr">
        <is>
          <t>p5</t>
        </is>
      </c>
      <c r="B30" s="419" t="inlineStr">
        <is>
          <t>Program</t>
        </is>
      </c>
      <c r="C30" s="419" t="inlineStr">
        <is>
          <t>Customer Service</t>
        </is>
      </c>
      <c r="D30" s="419" t="inlineStr">
        <is>
          <t>Administrative Leadership &amp; Governance</t>
        </is>
      </c>
      <c r="E30" s="419" t="inlineStr">
        <is>
          <t>Leadership and Governance</t>
        </is>
      </c>
      <c r="F30" s="419" t="n"/>
    </row>
    <row r="31" ht="15" customHeight="1" s="210">
      <c r="A31" s="419" t="inlineStr">
        <is>
          <t>p7</t>
        </is>
      </c>
      <c r="B31" s="419" t="inlineStr">
        <is>
          <t>Program</t>
        </is>
      </c>
      <c r="C31" s="419" t="inlineStr">
        <is>
          <t>Records Management</t>
        </is>
      </c>
      <c r="D31" s="419" t="inlineStr">
        <is>
          <t>City Clerk &amp; Records Management</t>
        </is>
      </c>
      <c r="E31" s="419" t="inlineStr">
        <is>
          <t>Leadership and Governance</t>
        </is>
      </c>
      <c r="F31" s="419" t="n"/>
    </row>
    <row r="32" ht="15" customHeight="1" s="210">
      <c r="A32" s="419" t="inlineStr">
        <is>
          <t>p8</t>
        </is>
      </c>
      <c r="B32" s="419" t="inlineStr">
        <is>
          <t>Program</t>
        </is>
      </c>
      <c r="C32" s="419" t="inlineStr">
        <is>
          <t>Elections Administration</t>
        </is>
      </c>
      <c r="D32" s="419" t="inlineStr">
        <is>
          <t>City Clerk &amp; Records Management</t>
        </is>
      </c>
      <c r="E32" s="419" t="inlineStr">
        <is>
          <t>Leadership and Governance</t>
        </is>
      </c>
      <c r="F32" s="419" t="n"/>
    </row>
    <row r="33" ht="15" customHeight="1" s="210">
      <c r="A33" s="419" t="inlineStr">
        <is>
          <t>p6</t>
        </is>
      </c>
      <c r="B33" s="419" t="inlineStr">
        <is>
          <t>Program</t>
        </is>
      </c>
      <c r="C33" s="419" t="inlineStr">
        <is>
          <t>Council/Board Support</t>
        </is>
      </c>
      <c r="D33" s="419" t="inlineStr">
        <is>
          <t>City Clerk &amp; Records Management</t>
        </is>
      </c>
      <c r="E33" s="419" t="inlineStr">
        <is>
          <t>Leadership and Governance</t>
        </is>
      </c>
      <c r="F33" s="419" t="n"/>
    </row>
    <row r="34" ht="15" customHeight="1" s="210">
      <c r="A34" s="419" t="inlineStr">
        <is>
          <t>p29</t>
        </is>
      </c>
      <c r="B34" s="419" t="inlineStr">
        <is>
          <t>Program</t>
        </is>
      </c>
      <c r="C34" s="419" t="inlineStr">
        <is>
          <t>Licensing</t>
        </is>
      </c>
      <c r="D34" s="419" t="inlineStr">
        <is>
          <t>City Clerk &amp; Records Management</t>
        </is>
      </c>
      <c r="E34" s="419" t="inlineStr">
        <is>
          <t>Leadership and Governance</t>
        </is>
      </c>
      <c r="F34" s="419" t="n"/>
    </row>
    <row r="35" ht="15" customHeight="1" s="210">
      <c r="A35" s="419" t="inlineStr">
        <is>
          <t>p11</t>
        </is>
      </c>
      <c r="B35" s="419" t="inlineStr">
        <is>
          <t>Program</t>
        </is>
      </c>
      <c r="C35" s="419" t="inlineStr">
        <is>
          <t>Public Outreach</t>
        </is>
      </c>
      <c r="D35" s="419" t="inlineStr">
        <is>
          <t>Public Information &amp; Community Engagement</t>
        </is>
      </c>
      <c r="E35" s="419" t="inlineStr">
        <is>
          <t>Leadership and Governance</t>
        </is>
      </c>
      <c r="F35" s="419" t="n"/>
    </row>
    <row r="36" ht="15" customHeight="1" s="210">
      <c r="A36" s="419" t="inlineStr">
        <is>
          <t>p12</t>
        </is>
      </c>
      <c r="B36" s="419" t="inlineStr">
        <is>
          <t>Program</t>
        </is>
      </c>
      <c r="C36" s="419" t="inlineStr">
        <is>
          <t>Social Media</t>
        </is>
      </c>
      <c r="D36" s="419" t="inlineStr">
        <is>
          <t>Public Information &amp; Community Engagement</t>
        </is>
      </c>
      <c r="E36" s="419" t="inlineStr">
        <is>
          <t>Leadership and Governance</t>
        </is>
      </c>
      <c r="F36" s="419" t="n"/>
    </row>
    <row r="37" ht="15" customHeight="1" s="210">
      <c r="A37" s="419" t="inlineStr">
        <is>
          <t>p13</t>
        </is>
      </c>
      <c r="B37" s="419" t="inlineStr">
        <is>
          <t>Program</t>
        </is>
      </c>
      <c r="C37" s="419" t="inlineStr">
        <is>
          <t>Community Engagement Initiatives</t>
        </is>
      </c>
      <c r="D37" s="419" t="inlineStr">
        <is>
          <t>Public Information &amp; Community Engagement</t>
        </is>
      </c>
      <c r="E37" s="419" t="inlineStr">
        <is>
          <t>Leadership and Governance</t>
        </is>
      </c>
      <c r="F37" s="419" t="n"/>
    </row>
    <row r="38" ht="15" customHeight="1" s="210">
      <c r="A38" s="419" t="inlineStr">
        <is>
          <t>p15</t>
        </is>
      </c>
      <c r="B38" s="419" t="inlineStr">
        <is>
          <t>Program</t>
        </is>
      </c>
      <c r="C38" s="419" t="inlineStr">
        <is>
          <t>Budgeting &amp; Forecasting</t>
        </is>
      </c>
      <c r="D38" s="419" t="inlineStr">
        <is>
          <t>Financial Management &amp; Accountability</t>
        </is>
      </c>
      <c r="E38" s="419" t="inlineStr">
        <is>
          <t>Financial and Internal Services</t>
        </is>
      </c>
      <c r="F38" s="419" t="n"/>
    </row>
    <row r="39" ht="15" customHeight="1" s="210">
      <c r="A39" s="419" t="inlineStr">
        <is>
          <t>p16</t>
        </is>
      </c>
      <c r="B39" s="419" t="inlineStr">
        <is>
          <t>Program</t>
        </is>
      </c>
      <c r="C39" s="419" t="inlineStr">
        <is>
          <t>Grants Management</t>
        </is>
      </c>
      <c r="D39" s="419" t="inlineStr">
        <is>
          <t>Financial Management &amp; Accountability</t>
        </is>
      </c>
      <c r="E39" s="419" t="inlineStr">
        <is>
          <t>Financial and Internal Services</t>
        </is>
      </c>
      <c r="F39" s="419" t="n"/>
    </row>
    <row r="40" ht="15" customHeight="1" s="210">
      <c r="A40" s="419" t="inlineStr">
        <is>
          <t>p17</t>
        </is>
      </c>
      <c r="B40" s="419" t="inlineStr">
        <is>
          <t>Program</t>
        </is>
      </c>
      <c r="C40" s="419" t="inlineStr">
        <is>
          <t>Procurement</t>
        </is>
      </c>
      <c r="D40" s="419" t="inlineStr">
        <is>
          <t>Financial Management &amp; Accountability</t>
        </is>
      </c>
      <c r="E40" s="419" t="inlineStr">
        <is>
          <t>Financial and Internal Services</t>
        </is>
      </c>
      <c r="F40" s="419" t="n"/>
    </row>
    <row r="41" ht="15" customHeight="1" s="210">
      <c r="A41" s="419" t="inlineStr">
        <is>
          <t>p97</t>
        </is>
      </c>
      <c r="B41" s="419" t="inlineStr">
        <is>
          <t>Program</t>
        </is>
      </c>
      <c r="C41" s="419" t="inlineStr">
        <is>
          <t>Contract Management</t>
        </is>
      </c>
      <c r="D41" s="419" t="inlineStr">
        <is>
          <t>Financial Management &amp; Accountability</t>
        </is>
      </c>
      <c r="E41" s="419" t="inlineStr">
        <is>
          <t>Financial and Internal Services</t>
        </is>
      </c>
      <c r="F41" s="419" t="n"/>
    </row>
    <row r="42" ht="15" customHeight="1" s="210">
      <c r="A42" s="419" t="inlineStr">
        <is>
          <t>p98</t>
        </is>
      </c>
      <c r="B42" s="419" t="inlineStr">
        <is>
          <t>Program</t>
        </is>
      </c>
      <c r="C42" s="419" t="inlineStr">
        <is>
          <t>Vendor Management</t>
        </is>
      </c>
      <c r="D42" s="419" t="inlineStr">
        <is>
          <t>Financial Management &amp; Accountability</t>
        </is>
      </c>
      <c r="E42" s="419" t="inlineStr">
        <is>
          <t>Financial and Internal Services</t>
        </is>
      </c>
      <c r="F42" s="419" t="n"/>
    </row>
    <row r="43" ht="15" customHeight="1" s="210">
      <c r="A43" s="419" t="inlineStr">
        <is>
          <t>p18</t>
        </is>
      </c>
      <c r="B43" s="419" t="inlineStr">
        <is>
          <t>Program</t>
        </is>
      </c>
      <c r="C43" s="419" t="inlineStr">
        <is>
          <t>Accounting &amp; Reporting</t>
        </is>
      </c>
      <c r="D43" s="419" t="inlineStr">
        <is>
          <t>Financial Management &amp; Accountability</t>
        </is>
      </c>
      <c r="E43" s="419" t="inlineStr">
        <is>
          <t>Financial and Internal Services</t>
        </is>
      </c>
      <c r="F43" s="419" t="n"/>
    </row>
    <row r="44" ht="15" customHeight="1" s="210">
      <c r="A44" s="419" t="inlineStr">
        <is>
          <t>p21</t>
        </is>
      </c>
      <c r="B44" s="419" t="inlineStr">
        <is>
          <t>Program</t>
        </is>
      </c>
      <c r="C44" s="419" t="inlineStr">
        <is>
          <t>Revenue Collection</t>
        </is>
      </c>
      <c r="D44" s="419" t="inlineStr">
        <is>
          <t>Financial Management &amp; Accountability</t>
        </is>
      </c>
      <c r="E44" s="419" t="inlineStr">
        <is>
          <t>Financial and Internal Services</t>
        </is>
      </c>
      <c r="F44" s="419" t="n"/>
    </row>
    <row r="45" ht="15" customHeight="1" s="210">
      <c r="A45" s="419" t="inlineStr">
        <is>
          <t>p99</t>
        </is>
      </c>
      <c r="B45" s="419" t="inlineStr">
        <is>
          <t>Program</t>
        </is>
      </c>
      <c r="C45" s="419" t="inlineStr">
        <is>
          <t>Financial Compliance</t>
        </is>
      </c>
      <c r="D45" s="419" t="inlineStr">
        <is>
          <t>Financial Management &amp; Accountability</t>
        </is>
      </c>
      <c r="E45" s="419" t="inlineStr">
        <is>
          <t>Financial and Internal Services</t>
        </is>
      </c>
      <c r="F45" s="419" t="n"/>
    </row>
    <row r="46" ht="15" customHeight="1" s="210">
      <c r="A46" s="419" t="inlineStr">
        <is>
          <t>p22</t>
        </is>
      </c>
      <c r="B46" s="419" t="inlineStr">
        <is>
          <t>Program</t>
        </is>
      </c>
      <c r="C46" s="419" t="inlineStr">
        <is>
          <t>Learning &amp; Development</t>
        </is>
      </c>
      <c r="D46" s="419" t="inlineStr">
        <is>
          <t>Human Resources &amp; Workforce Development</t>
        </is>
      </c>
      <c r="E46" s="419" t="inlineStr">
        <is>
          <t>Financial and Internal Services</t>
        </is>
      </c>
      <c r="F46" s="419" t="n"/>
    </row>
    <row r="47" ht="15" customHeight="1" s="210">
      <c r="A47" s="419" t="inlineStr">
        <is>
          <t>p24</t>
        </is>
      </c>
      <c r="B47" s="419" t="inlineStr">
        <is>
          <t>Program</t>
        </is>
      </c>
      <c r="C47" s="419" t="inlineStr">
        <is>
          <t>Recruitment &amp; Retention</t>
        </is>
      </c>
      <c r="D47" s="419" t="inlineStr">
        <is>
          <t>Human Resources &amp; Workforce Development</t>
        </is>
      </c>
      <c r="E47" s="419" t="inlineStr">
        <is>
          <t>Financial and Internal Services</t>
        </is>
      </c>
      <c r="F47" s="419" t="n"/>
    </row>
    <row r="48" ht="15" customHeight="1" s="210">
      <c r="A48" s="419" t="inlineStr">
        <is>
          <t>p25</t>
        </is>
      </c>
      <c r="B48" s="419" t="inlineStr">
        <is>
          <t>Program</t>
        </is>
      </c>
      <c r="C48" s="419" t="inlineStr">
        <is>
          <t>Compensation &amp; Benefits</t>
        </is>
      </c>
      <c r="D48" s="419" t="inlineStr">
        <is>
          <t>Human Resources &amp; Workforce Development</t>
        </is>
      </c>
      <c r="E48" s="419" t="inlineStr">
        <is>
          <t>Financial and Internal Services</t>
        </is>
      </c>
      <c r="F48" s="419" t="n"/>
    </row>
    <row r="49" ht="15" customHeight="1" s="210">
      <c r="A49" s="419" t="inlineStr">
        <is>
          <t>p26</t>
        </is>
      </c>
      <c r="B49" s="419" t="inlineStr">
        <is>
          <t>Program</t>
        </is>
      </c>
      <c r="C49" s="419" t="inlineStr">
        <is>
          <t>Legal Counsel</t>
        </is>
      </c>
      <c r="D49" s="419" t="inlineStr">
        <is>
          <t>Legal Services</t>
        </is>
      </c>
      <c r="E49" s="419" t="inlineStr">
        <is>
          <t>Financial and Internal Services</t>
        </is>
      </c>
      <c r="F49" s="419" t="n"/>
    </row>
    <row r="50" ht="15" customHeight="1" s="210">
      <c r="A50" s="419" t="inlineStr">
        <is>
          <t>p27</t>
        </is>
      </c>
      <c r="B50" s="419" t="inlineStr">
        <is>
          <t>Program</t>
        </is>
      </c>
      <c r="C50" s="419" t="inlineStr">
        <is>
          <t>Risk Management</t>
        </is>
      </c>
      <c r="D50" s="419" t="inlineStr">
        <is>
          <t>Legal Services</t>
        </is>
      </c>
      <c r="E50" s="419" t="inlineStr">
        <is>
          <t>Financial and Internal Services</t>
        </is>
      </c>
      <c r="F50" s="419" t="n"/>
    </row>
    <row r="51" ht="15" customHeight="1" s="210">
      <c r="A51" s="419" t="inlineStr">
        <is>
          <t>p28</t>
        </is>
      </c>
      <c r="B51" s="419" t="inlineStr">
        <is>
          <t>Program</t>
        </is>
      </c>
      <c r="C51" s="419" t="inlineStr">
        <is>
          <t>Code Compliance</t>
        </is>
      </c>
      <c r="D51" s="419" t="inlineStr">
        <is>
          <t>Legal Services</t>
        </is>
      </c>
      <c r="E51" s="419" t="inlineStr">
        <is>
          <t>Financial and Internal Services</t>
        </is>
      </c>
      <c r="F51" s="419" t="n"/>
    </row>
    <row r="52" ht="15" customHeight="1" s="210">
      <c r="A52" s="419" t="inlineStr">
        <is>
          <t>p30</t>
        </is>
      </c>
      <c r="B52" s="419" t="inlineStr">
        <is>
          <t>Program</t>
        </is>
      </c>
      <c r="C52" s="419" t="inlineStr">
        <is>
          <t>Network &amp; Infrastructure Management</t>
        </is>
      </c>
      <c r="D52" s="419" t="inlineStr">
        <is>
          <t>Information Technology Services</t>
        </is>
      </c>
      <c r="E52" s="419" t="inlineStr">
        <is>
          <t>Financial and Internal Services</t>
        </is>
      </c>
      <c r="F52" s="419" t="n"/>
    </row>
    <row r="53" ht="15" customHeight="1" s="210">
      <c r="A53" s="419" t="inlineStr">
        <is>
          <t>p31</t>
        </is>
      </c>
      <c r="B53" s="419" t="inlineStr">
        <is>
          <t>Program</t>
        </is>
      </c>
      <c r="C53" s="419" t="inlineStr">
        <is>
          <t>Cybersecurity</t>
        </is>
      </c>
      <c r="D53" s="419" t="inlineStr">
        <is>
          <t>Information Technology Services</t>
        </is>
      </c>
      <c r="E53" s="419" t="inlineStr">
        <is>
          <t>Financial and Internal Services</t>
        </is>
      </c>
      <c r="F53" s="419" t="n"/>
    </row>
    <row r="54" ht="15" customHeight="1" s="210">
      <c r="A54" s="419" t="inlineStr">
        <is>
          <t>p32</t>
        </is>
      </c>
      <c r="B54" s="419" t="inlineStr">
        <is>
          <t>Program</t>
        </is>
      </c>
      <c r="C54" s="419" t="inlineStr">
        <is>
          <t>Business Applications Support</t>
        </is>
      </c>
      <c r="D54" s="419" t="inlineStr">
        <is>
          <t>Information Technology Services</t>
        </is>
      </c>
      <c r="E54" s="419" t="inlineStr">
        <is>
          <t>Financial and Internal Services</t>
        </is>
      </c>
      <c r="F54" s="419" t="n"/>
    </row>
    <row r="55" ht="15" customHeight="1" s="210">
      <c r="A55" s="419" t="inlineStr">
        <is>
          <t>p33</t>
        </is>
      </c>
      <c r="B55" s="419" t="inlineStr">
        <is>
          <t>Program</t>
        </is>
      </c>
      <c r="C55" s="419" t="inlineStr">
        <is>
          <t>GIS</t>
        </is>
      </c>
      <c r="D55" s="419" t="inlineStr">
        <is>
          <t>Information Technology Services</t>
        </is>
      </c>
      <c r="E55" s="419" t="inlineStr">
        <is>
          <t>Financial and Internal Services</t>
        </is>
      </c>
      <c r="F55" s="419" t="n"/>
    </row>
    <row r="56" ht="15" customHeight="1" s="210">
      <c r="A56" s="419" t="inlineStr">
        <is>
          <t>p34</t>
        </is>
      </c>
      <c r="B56" s="419" t="inlineStr">
        <is>
          <t>Program</t>
        </is>
      </c>
      <c r="C56" s="419" t="inlineStr">
        <is>
          <t>Help Desk</t>
        </is>
      </c>
      <c r="D56" s="419" t="inlineStr">
        <is>
          <t>Information Technology Services</t>
        </is>
      </c>
      <c r="E56" s="419" t="inlineStr">
        <is>
          <t>Financial and Internal Services</t>
        </is>
      </c>
      <c r="F56" s="419" t="n"/>
    </row>
    <row r="57" ht="15" customHeight="1" s="210">
      <c r="A57" s="419" t="inlineStr">
        <is>
          <t>p35</t>
        </is>
      </c>
      <c r="B57" s="419" t="inlineStr">
        <is>
          <t>Program</t>
        </is>
      </c>
      <c r="C57" s="419" t="inlineStr">
        <is>
          <t>Long Range Comprehensive Planning</t>
        </is>
      </c>
      <c r="D57" s="419" t="inlineStr">
        <is>
          <t>Community Development &amp; Planning</t>
        </is>
      </c>
      <c r="E57" s="419" t="inlineStr">
        <is>
          <t>Community Growth and Economic Vitality</t>
        </is>
      </c>
      <c r="F57" s="419" t="n"/>
    </row>
    <row r="58" ht="15" customHeight="1" s="210">
      <c r="A58" s="419" t="inlineStr">
        <is>
          <t>p36</t>
        </is>
      </c>
      <c r="B58" s="419" t="inlineStr">
        <is>
          <t>Program</t>
        </is>
      </c>
      <c r="C58" s="419" t="inlineStr">
        <is>
          <t>Development Review &amp; Permitting (inspections)</t>
        </is>
      </c>
      <c r="D58" s="419" t="inlineStr">
        <is>
          <t>Community Development &amp; Planning</t>
        </is>
      </c>
      <c r="E58" s="419" t="inlineStr">
        <is>
          <t>Community Growth and Economic Vitality</t>
        </is>
      </c>
      <c r="F58" s="419" t="n"/>
    </row>
    <row r="59" ht="15" customHeight="1" s="210">
      <c r="A59" s="419" t="inlineStr">
        <is>
          <t>p37</t>
        </is>
      </c>
      <c r="B59" s="419" t="inlineStr">
        <is>
          <t>Program</t>
        </is>
      </c>
      <c r="C59" s="419" t="inlineStr">
        <is>
          <t>Housing Initiatives</t>
        </is>
      </c>
      <c r="D59" s="419" t="inlineStr">
        <is>
          <t>Community Development &amp; Planning</t>
        </is>
      </c>
      <c r="E59" s="419" t="inlineStr">
        <is>
          <t>Community Growth and Economic Vitality</t>
        </is>
      </c>
      <c r="F59" s="419" t="n"/>
    </row>
    <row r="60" ht="15" customHeight="1" s="210">
      <c r="A60" s="419" t="inlineStr">
        <is>
          <t>p38</t>
        </is>
      </c>
      <c r="B60" s="419" t="inlineStr">
        <is>
          <t>Program</t>
        </is>
      </c>
      <c r="C60" s="419" t="inlineStr">
        <is>
          <t>Historical Preservation</t>
        </is>
      </c>
      <c r="D60" s="419" t="inlineStr">
        <is>
          <t>Community Development &amp; Planning</t>
        </is>
      </c>
      <c r="E60" s="419" t="inlineStr">
        <is>
          <t>Community Growth and Economic Vitality</t>
        </is>
      </c>
      <c r="F60" s="419" t="n"/>
    </row>
    <row r="61" ht="15" customHeight="1" s="210">
      <c r="A61" s="419" t="inlineStr">
        <is>
          <t>p100</t>
        </is>
      </c>
      <c r="B61" s="419" t="inlineStr">
        <is>
          <t>Program</t>
        </is>
      </c>
      <c r="C61" s="419" t="inlineStr">
        <is>
          <t>Community Investments, Partnerships, and Grant Making</t>
        </is>
      </c>
      <c r="D61" s="419" t="inlineStr">
        <is>
          <t>Economic Prosperity &amp; Business Support</t>
        </is>
      </c>
      <c r="E61" s="419" t="inlineStr">
        <is>
          <t>Community Growth and Economic Vitality</t>
        </is>
      </c>
      <c r="F61" s="419" t="n"/>
    </row>
    <row r="62" ht="15" customHeight="1" s="210">
      <c r="A62" s="419" t="inlineStr">
        <is>
          <t>p40</t>
        </is>
      </c>
      <c r="B62" s="419" t="inlineStr">
        <is>
          <t>Program</t>
        </is>
      </c>
      <c r="C62" s="419" t="inlineStr">
        <is>
          <t>Business Support Services</t>
        </is>
      </c>
      <c r="D62" s="419" t="inlineStr">
        <is>
          <t>Economic Prosperity &amp; Business Support</t>
        </is>
      </c>
      <c r="E62" s="419" t="inlineStr">
        <is>
          <t>Community Growth and Economic Vitality</t>
        </is>
      </c>
      <c r="F62" s="419" t="n"/>
    </row>
    <row r="63" ht="15" customHeight="1" s="210">
      <c r="A63" s="419" t="inlineStr">
        <is>
          <t>p43</t>
        </is>
      </c>
      <c r="B63" s="419" t="inlineStr">
        <is>
          <t>Program</t>
        </is>
      </c>
      <c r="C63" s="419" t="inlineStr">
        <is>
          <t>Destination Marketing and Management (Tourism)</t>
        </is>
      </c>
      <c r="D63" s="419" t="inlineStr">
        <is>
          <t>Economic Prosperity &amp; Business Support</t>
        </is>
      </c>
      <c r="E63" s="419" t="inlineStr">
        <is>
          <t>Community Growth and Economic Vitality</t>
        </is>
      </c>
      <c r="F63" s="419" t="n"/>
    </row>
    <row r="64" ht="15" customHeight="1" s="210">
      <c r="A64" s="419" t="inlineStr">
        <is>
          <t>p44</t>
        </is>
      </c>
      <c r="B64" s="419" t="inlineStr">
        <is>
          <t>Program</t>
        </is>
      </c>
      <c r="C64" s="419" t="inlineStr">
        <is>
          <t>Energy, Climate and Sustainability Programs</t>
        </is>
      </c>
      <c r="D64" s="419" t="inlineStr">
        <is>
          <t>Sustainability &amp; Environmental Stewardship</t>
        </is>
      </c>
      <c r="E64" s="419" t="inlineStr">
        <is>
          <t>Community Growth and Economic Vitality</t>
        </is>
      </c>
      <c r="F64" s="419" t="n"/>
    </row>
    <row r="65" ht="15" customHeight="1" s="210">
      <c r="A65" s="419" t="inlineStr">
        <is>
          <t>p45</t>
        </is>
      </c>
      <c r="B65" s="419" t="inlineStr">
        <is>
          <t>Program</t>
        </is>
      </c>
      <c r="C65" s="419" t="inlineStr">
        <is>
          <t>Waste Reduction (recycling)</t>
        </is>
      </c>
      <c r="D65" s="419" t="inlineStr">
        <is>
          <t>Sustainability &amp; Environmental Stewardship</t>
        </is>
      </c>
      <c r="E65" s="419" t="inlineStr">
        <is>
          <t>Community Growth and Economic Vitality</t>
        </is>
      </c>
      <c r="F65" s="419" t="n"/>
    </row>
    <row r="66" ht="15" customHeight="1" s="210">
      <c r="A66" s="419" t="inlineStr">
        <is>
          <t>p46</t>
        </is>
      </c>
      <c r="B66" s="419" t="inlineStr">
        <is>
          <t>Program</t>
        </is>
      </c>
      <c r="C66" s="419" t="inlineStr">
        <is>
          <t>Water Conservation</t>
        </is>
      </c>
      <c r="D66" s="419" t="inlineStr">
        <is>
          <t>Sustainability &amp; Environmental Stewardship</t>
        </is>
      </c>
      <c r="E66" s="419" t="inlineStr">
        <is>
          <t>Community Growth and Economic Vitality</t>
        </is>
      </c>
      <c r="F66" s="419" t="n"/>
    </row>
    <row r="67" ht="15" customHeight="1" s="210">
      <c r="A67" s="419" t="inlineStr">
        <is>
          <t>p47</t>
        </is>
      </c>
      <c r="B67" s="419" t="inlineStr">
        <is>
          <t>Program</t>
        </is>
      </c>
      <c r="C67" s="419" t="inlineStr">
        <is>
          <t>Urban Forestry</t>
        </is>
      </c>
      <c r="D67" s="419" t="inlineStr">
        <is>
          <t>Sustainability &amp; Environmental Stewardship</t>
        </is>
      </c>
      <c r="E67" s="419" t="inlineStr">
        <is>
          <t>Community Growth and Economic Vitality</t>
        </is>
      </c>
      <c r="F67" s="419" t="n"/>
    </row>
    <row r="68" ht="15" customHeight="1" s="210">
      <c r="A68" s="419" t="inlineStr">
        <is>
          <t>p48</t>
        </is>
      </c>
      <c r="B68" s="419" t="inlineStr">
        <is>
          <t>Program</t>
        </is>
      </c>
      <c r="C68" s="419" t="inlineStr">
        <is>
          <t>Resilience Planning</t>
        </is>
      </c>
      <c r="D68" s="419" t="inlineStr">
        <is>
          <t>Sustainability &amp; Environmental Stewardship</t>
        </is>
      </c>
      <c r="E68" s="419" t="inlineStr">
        <is>
          <t>Community Growth and Economic Vitality</t>
        </is>
      </c>
      <c r="F68" s="419" t="n"/>
    </row>
    <row r="69" ht="15" customHeight="1" s="210">
      <c r="A69" s="419" t="inlineStr">
        <is>
          <t>p49</t>
        </is>
      </c>
      <c r="B69" s="419" t="inlineStr">
        <is>
          <t>Program</t>
        </is>
      </c>
      <c r="C69" s="419" t="inlineStr">
        <is>
          <t>Police Patrol</t>
        </is>
      </c>
      <c r="D69" s="419" t="inlineStr">
        <is>
          <t>Public Safety Services</t>
        </is>
      </c>
      <c r="E69" s="419" t="inlineStr">
        <is>
          <t>Public Safety</t>
        </is>
      </c>
      <c r="F69" s="419" t="n"/>
    </row>
    <row r="70" ht="15" customHeight="1" s="210">
      <c r="A70" s="419" t="inlineStr">
        <is>
          <t>p50</t>
        </is>
      </c>
      <c r="B70" s="419" t="inlineStr">
        <is>
          <t>Program</t>
        </is>
      </c>
      <c r="C70" s="419" t="inlineStr">
        <is>
          <t>Criminal Investigations</t>
        </is>
      </c>
      <c r="D70" s="419" t="inlineStr">
        <is>
          <t>Public Safety Services</t>
        </is>
      </c>
      <c r="E70" s="419" t="inlineStr">
        <is>
          <t>Public Safety</t>
        </is>
      </c>
      <c r="F70" s="419" t="n"/>
    </row>
    <row r="71" ht="15" customHeight="1" s="210">
      <c r="A71" s="419" t="inlineStr">
        <is>
          <t>p101</t>
        </is>
      </c>
      <c r="B71" s="419" t="inlineStr">
        <is>
          <t>Program</t>
        </is>
      </c>
      <c r="C71" s="419" t="inlineStr">
        <is>
          <t>911 Emergency Services</t>
        </is>
      </c>
      <c r="D71" s="419" t="inlineStr">
        <is>
          <t>Public Safety Services</t>
        </is>
      </c>
      <c r="E71" s="419" t="inlineStr">
        <is>
          <t>Public Safety</t>
        </is>
      </c>
      <c r="F71" s="419" t="n"/>
    </row>
    <row r="72" ht="15" customHeight="1" s="210">
      <c r="A72" s="419" t="inlineStr">
        <is>
          <t>p102</t>
        </is>
      </c>
      <c r="B72" s="419" t="inlineStr">
        <is>
          <t>Program</t>
        </is>
      </c>
      <c r="C72" s="419" t="inlineStr">
        <is>
          <t>Administrative Public Safety Services</t>
        </is>
      </c>
      <c r="D72" s="419" t="inlineStr">
        <is>
          <t>Public Safety Services</t>
        </is>
      </c>
      <c r="E72" s="419" t="inlineStr">
        <is>
          <t>Public Safety</t>
        </is>
      </c>
      <c r="F72" s="419" t="n"/>
    </row>
    <row r="73" ht="15" customHeight="1" s="210">
      <c r="A73" s="419" t="inlineStr">
        <is>
          <t>p51</t>
        </is>
      </c>
      <c r="B73" s="419" t="inlineStr">
        <is>
          <t>Program</t>
        </is>
      </c>
      <c r="C73" s="419" t="inlineStr">
        <is>
          <t>Special Operations</t>
        </is>
      </c>
      <c r="D73" s="419" t="inlineStr">
        <is>
          <t>Public Safety Services</t>
        </is>
      </c>
      <c r="E73" s="419" t="inlineStr">
        <is>
          <t>Public Safety</t>
        </is>
      </c>
      <c r="F73" s="419" t="n"/>
    </row>
    <row r="74" ht="15" customHeight="1" s="210">
      <c r="A74" s="419" t="inlineStr">
        <is>
          <t>p104</t>
        </is>
      </c>
      <c r="B74" s="419" t="inlineStr">
        <is>
          <t>Program</t>
        </is>
      </c>
      <c r="C74" s="419" t="inlineStr">
        <is>
          <t>Public Safety Technology NG (NextGen) 911 Technologies</t>
        </is>
      </c>
      <c r="D74" s="419" t="inlineStr">
        <is>
          <t>Public Safety Services</t>
        </is>
      </c>
      <c r="E74" s="419" t="inlineStr">
        <is>
          <t>Public Safety</t>
        </is>
      </c>
      <c r="F74" s="419" t="n"/>
    </row>
    <row r="75" ht="15" customHeight="1" s="210">
      <c r="A75" s="419" t="inlineStr">
        <is>
          <t>p54</t>
        </is>
      </c>
      <c r="B75" s="419" t="inlineStr">
        <is>
          <t>Program</t>
        </is>
      </c>
      <c r="C75" s="419" t="inlineStr">
        <is>
          <t>ARFF</t>
        </is>
      </c>
      <c r="D75" s="419" t="inlineStr">
        <is>
          <t>Public Safety Services</t>
        </is>
      </c>
      <c r="E75" s="419" t="inlineStr">
        <is>
          <t>Public Safety</t>
        </is>
      </c>
      <c r="F75" s="419" t="n"/>
    </row>
    <row r="76" ht="15" customHeight="1" s="210">
      <c r="A76" s="419" t="inlineStr">
        <is>
          <t>p55</t>
        </is>
      </c>
      <c r="B76" s="419" t="inlineStr">
        <is>
          <t>Program</t>
        </is>
      </c>
      <c r="C76" s="419" t="inlineStr">
        <is>
          <t>Municipal Court Administration</t>
        </is>
      </c>
      <c r="D76" s="419" t="inlineStr">
        <is>
          <t>Municipal Court</t>
        </is>
      </c>
      <c r="E76" s="419" t="inlineStr">
        <is>
          <t>Public Safety</t>
        </is>
      </c>
      <c r="F76" s="419" t="n"/>
    </row>
    <row r="77" ht="15" customHeight="1" s="210">
      <c r="A77" s="419" t="inlineStr">
        <is>
          <t>p58</t>
        </is>
      </c>
      <c r="B77" s="419" t="inlineStr">
        <is>
          <t>Program</t>
        </is>
      </c>
      <c r="C77" s="419" t="inlineStr">
        <is>
          <t>Specialty Court</t>
        </is>
      </c>
      <c r="D77" s="419" t="inlineStr">
        <is>
          <t>Municipal Court</t>
        </is>
      </c>
      <c r="E77" s="419" t="inlineStr">
        <is>
          <t>Public Safety</t>
        </is>
      </c>
      <c r="F77" s="419" t="n"/>
    </row>
    <row r="78" ht="15" customHeight="1" s="210">
      <c r="A78" s="419" t="inlineStr">
        <is>
          <t>p60</t>
        </is>
      </c>
      <c r="B78" s="419" t="inlineStr">
        <is>
          <t>Program</t>
        </is>
      </c>
      <c r="C78" s="419" t="inlineStr">
        <is>
          <t>Prosecutor Success</t>
        </is>
      </c>
      <c r="D78" s="419" t="inlineStr">
        <is>
          <t>Municipal Court</t>
        </is>
      </c>
      <c r="E78" s="419" t="inlineStr">
        <is>
          <t>Public Safety</t>
        </is>
      </c>
      <c r="F78" s="419" t="n"/>
    </row>
    <row r="79" ht="15" customHeight="1" s="210">
      <c r="A79" s="419" t="inlineStr">
        <is>
          <t>p61</t>
        </is>
      </c>
      <c r="B79" s="419" t="inlineStr">
        <is>
          <t>Program</t>
        </is>
      </c>
      <c r="C79" s="419" t="inlineStr">
        <is>
          <t>Streets &amp; Traffic Operations</t>
        </is>
      </c>
      <c r="D79" s="419" t="inlineStr">
        <is>
          <t>Public Works &amp; Municipal Services</t>
        </is>
      </c>
      <c r="E79" s="419" t="inlineStr">
        <is>
          <t>Infrastructure</t>
        </is>
      </c>
      <c r="F79" s="419" t="n"/>
    </row>
    <row r="80" ht="15" customHeight="1" s="210">
      <c r="A80" s="419" t="inlineStr">
        <is>
          <t>p62</t>
        </is>
      </c>
      <c r="B80" s="419" t="inlineStr">
        <is>
          <t>Program</t>
        </is>
      </c>
      <c r="C80" s="419" t="inlineStr">
        <is>
          <t>Stormwater</t>
        </is>
      </c>
      <c r="D80" s="419" t="inlineStr">
        <is>
          <t>Public Works &amp; Municipal Services</t>
        </is>
      </c>
      <c r="E80" s="419" t="inlineStr">
        <is>
          <t>Infrastructure</t>
        </is>
      </c>
      <c r="F80" s="419" t="n"/>
    </row>
    <row r="81" ht="15" customHeight="1" s="210">
      <c r="A81" s="419" t="inlineStr">
        <is>
          <t>p63</t>
        </is>
      </c>
      <c r="B81" s="419" t="inlineStr">
        <is>
          <t>Program</t>
        </is>
      </c>
      <c r="C81" s="419" t="inlineStr">
        <is>
          <t>Fleet Management</t>
        </is>
      </c>
      <c r="D81" s="419" t="inlineStr">
        <is>
          <t>Public Works &amp; Municipal Services</t>
        </is>
      </c>
      <c r="E81" s="419" t="inlineStr">
        <is>
          <t>Infrastructure</t>
        </is>
      </c>
      <c r="F81" s="419" t="n"/>
    </row>
    <row r="82" ht="15" customHeight="1" s="210">
      <c r="A82" s="419" t="inlineStr">
        <is>
          <t>p64</t>
        </is>
      </c>
      <c r="B82" s="419" t="inlineStr">
        <is>
          <t>Program</t>
        </is>
      </c>
      <c r="C82" s="419" t="inlineStr">
        <is>
          <t>Facilities Maintenance</t>
        </is>
      </c>
      <c r="D82" s="419" t="inlineStr">
        <is>
          <t>Public Works &amp; Municipal Services</t>
        </is>
      </c>
      <c r="E82" s="419" t="inlineStr">
        <is>
          <t>Infrastructure</t>
        </is>
      </c>
      <c r="F82" s="419" t="n"/>
    </row>
    <row r="83" ht="15" customHeight="1" s="210">
      <c r="A83" s="419" t="inlineStr">
        <is>
          <t>p65</t>
        </is>
      </c>
      <c r="B83" s="419" t="inlineStr">
        <is>
          <t>Program</t>
        </is>
      </c>
      <c r="C83" s="419" t="inlineStr">
        <is>
          <t>Solid Waste</t>
        </is>
      </c>
      <c r="D83" s="419" t="inlineStr">
        <is>
          <t>Public Works &amp; Municipal Services</t>
        </is>
      </c>
      <c r="E83" s="419" t="inlineStr">
        <is>
          <t>Infrastructure</t>
        </is>
      </c>
      <c r="F83" s="419" t="n"/>
    </row>
    <row r="84" ht="15" customHeight="1" s="210">
      <c r="A84" s="419" t="inlineStr">
        <is>
          <t>p66</t>
        </is>
      </c>
      <c r="B84" s="419" t="inlineStr">
        <is>
          <t>Program</t>
        </is>
      </c>
      <c r="C84" s="419" t="inlineStr">
        <is>
          <t>Water Utility</t>
        </is>
      </c>
      <c r="D84" s="419" t="inlineStr">
        <is>
          <t>Public Works &amp; Municipal Services</t>
        </is>
      </c>
      <c r="E84" s="419" t="inlineStr">
        <is>
          <t>Infrastructure</t>
        </is>
      </c>
      <c r="F84" s="419" t="n"/>
    </row>
    <row r="85" ht="15" customHeight="1" s="210">
      <c r="A85" s="419" t="inlineStr">
        <is>
          <t>p106</t>
        </is>
      </c>
      <c r="B85" s="419" t="inlineStr">
        <is>
          <t>Program</t>
        </is>
      </c>
      <c r="C85" s="419" t="inlineStr">
        <is>
          <t>Wastewater Utility</t>
        </is>
      </c>
      <c r="D85" s="419" t="inlineStr">
        <is>
          <t>Public Works &amp; Municipal Services</t>
        </is>
      </c>
      <c r="E85" s="419" t="inlineStr">
        <is>
          <t>Infrastructure</t>
        </is>
      </c>
      <c r="F85" s="419" t="n"/>
    </row>
    <row r="86" ht="15" customHeight="1" s="210">
      <c r="A86" s="419" t="inlineStr">
        <is>
          <t>p67</t>
        </is>
      </c>
      <c r="B86" s="419" t="inlineStr">
        <is>
          <t>Program</t>
        </is>
      </c>
      <c r="C86" s="419" t="inlineStr">
        <is>
          <t>Asset Management</t>
        </is>
      </c>
      <c r="D86" s="419" t="inlineStr">
        <is>
          <t>Public Works &amp; Municipal Services</t>
        </is>
      </c>
      <c r="E86" s="419" t="inlineStr">
        <is>
          <t>Infrastructure</t>
        </is>
      </c>
      <c r="F86" s="419" t="n"/>
    </row>
    <row r="87" ht="15" customHeight="1" s="210">
      <c r="A87" s="419" t="inlineStr">
        <is>
          <t>p68</t>
        </is>
      </c>
      <c r="B87" s="419" t="inlineStr">
        <is>
          <t>Program</t>
        </is>
      </c>
      <c r="C87" s="419" t="inlineStr">
        <is>
          <t>Capital Improvement Projects</t>
        </is>
      </c>
      <c r="D87" s="419" t="inlineStr">
        <is>
          <t>Public Works &amp; Municipal Services</t>
        </is>
      </c>
      <c r="E87" s="419" t="inlineStr">
        <is>
          <t>Infrastructure</t>
        </is>
      </c>
      <c r="F87" s="419" t="n"/>
    </row>
    <row r="88" ht="15" customHeight="1" s="210">
      <c r="A88" s="419" t="inlineStr">
        <is>
          <t>p69</t>
        </is>
      </c>
      <c r="B88" s="419" t="inlineStr">
        <is>
          <t>Program</t>
        </is>
      </c>
      <c r="C88" s="419" t="inlineStr">
        <is>
          <t>Fixed-Route Service</t>
        </is>
      </c>
      <c r="D88" s="419" t="inlineStr">
        <is>
          <t>Transit Services</t>
        </is>
      </c>
      <c r="E88" s="419" t="inlineStr">
        <is>
          <t>Infrastructure</t>
        </is>
      </c>
      <c r="F88" s="419" t="n"/>
    </row>
    <row r="89" ht="15" customHeight="1" s="210">
      <c r="A89" s="419" t="inlineStr">
        <is>
          <t>p70</t>
        </is>
      </c>
      <c r="B89" s="419" t="inlineStr">
        <is>
          <t>Program</t>
        </is>
      </c>
      <c r="C89" s="419" t="inlineStr">
        <is>
          <t>Paratransit</t>
        </is>
      </c>
      <c r="D89" s="419" t="inlineStr">
        <is>
          <t>Transit Services</t>
        </is>
      </c>
      <c r="E89" s="419" t="inlineStr">
        <is>
          <t>Infrastructure</t>
        </is>
      </c>
      <c r="F89" s="419" t="n"/>
    </row>
    <row r="90" ht="15" customHeight="1" s="210">
      <c r="A90" s="419" t="inlineStr">
        <is>
          <t>p71</t>
        </is>
      </c>
      <c r="B90" s="419" t="inlineStr">
        <is>
          <t>Program</t>
        </is>
      </c>
      <c r="C90" s="419" t="inlineStr">
        <is>
          <t>Multimodal Programs</t>
        </is>
      </c>
      <c r="D90" s="419" t="inlineStr">
        <is>
          <t>Transit Services</t>
        </is>
      </c>
      <c r="E90" s="419" t="inlineStr">
        <is>
          <t>Infrastructure</t>
        </is>
      </c>
      <c r="F90" s="419" t="n"/>
    </row>
    <row r="91" ht="15" customHeight="1" s="210">
      <c r="A91" s="419" t="inlineStr">
        <is>
          <t>p72</t>
        </is>
      </c>
      <c r="B91" s="419" t="inlineStr">
        <is>
          <t>Program</t>
        </is>
      </c>
      <c r="C91" s="419" t="inlineStr">
        <is>
          <t>Microtransit</t>
        </is>
      </c>
      <c r="D91" s="419" t="inlineStr">
        <is>
          <t>Transit Services</t>
        </is>
      </c>
      <c r="E91" s="419" t="inlineStr">
        <is>
          <t>Infrastructure</t>
        </is>
      </c>
      <c r="F91" s="419" t="n"/>
    </row>
    <row r="92" ht="15" customHeight="1" s="210">
      <c r="A92" s="419" t="inlineStr">
        <is>
          <t>p73</t>
        </is>
      </c>
      <c r="B92" s="419" t="inlineStr">
        <is>
          <t>Program</t>
        </is>
      </c>
      <c r="C92" s="419" t="inlineStr">
        <is>
          <t>Transit Planning</t>
        </is>
      </c>
      <c r="D92" s="419" t="inlineStr">
        <is>
          <t>Transit Services</t>
        </is>
      </c>
      <c r="E92" s="419" t="inlineStr">
        <is>
          <t>Infrastructure</t>
        </is>
      </c>
      <c r="F92" s="419" t="n"/>
    </row>
    <row r="93" ht="15" customHeight="1" s="210">
      <c r="A93" s="419" t="inlineStr">
        <is>
          <t>p74</t>
        </is>
      </c>
      <c r="B93" s="419" t="inlineStr">
        <is>
          <t>Program</t>
        </is>
      </c>
      <c r="C93" s="419" t="inlineStr">
        <is>
          <t>Fare Administration</t>
        </is>
      </c>
      <c r="D93" s="419" t="inlineStr">
        <is>
          <t>Transit Services</t>
        </is>
      </c>
      <c r="E93" s="419" t="inlineStr">
        <is>
          <t>Infrastructure</t>
        </is>
      </c>
      <c r="F93" s="419" t="n"/>
    </row>
    <row r="94" ht="15" customHeight="1" s="210">
      <c r="A94" s="419" t="inlineStr">
        <is>
          <t>p75</t>
        </is>
      </c>
      <c r="B94" s="419" t="inlineStr">
        <is>
          <t>Program</t>
        </is>
      </c>
      <c r="C94" s="419" t="inlineStr">
        <is>
          <t>Parking Management</t>
        </is>
      </c>
      <c r="D94" s="419" t="inlineStr">
        <is>
          <t>Transit Services</t>
        </is>
      </c>
      <c r="E94" s="419" t="inlineStr">
        <is>
          <t>Infrastructure</t>
        </is>
      </c>
      <c r="F94" s="419" t="n"/>
    </row>
    <row r="95" ht="15" customHeight="1" s="210">
      <c r="A95" s="419" t="inlineStr">
        <is>
          <t>p76</t>
        </is>
      </c>
      <c r="B95" s="419" t="inlineStr">
        <is>
          <t>Program</t>
        </is>
      </c>
      <c r="C95" s="419" t="inlineStr">
        <is>
          <t>Fleet &amp; Facility Management</t>
        </is>
      </c>
      <c r="D95" s="419" t="inlineStr">
        <is>
          <t>Asset Management</t>
        </is>
      </c>
      <c r="E95" s="419" t="inlineStr">
        <is>
          <t>Infrastructure</t>
        </is>
      </c>
      <c r="F95" s="419" t="n"/>
    </row>
    <row r="96" ht="15" customHeight="1" s="210">
      <c r="A96" s="419" t="inlineStr">
        <is>
          <t>p107</t>
        </is>
      </c>
      <c r="B96" s="419" t="inlineStr">
        <is>
          <t>Program</t>
        </is>
      </c>
      <c r="C96" s="419" t="inlineStr">
        <is>
          <t>Inventory Management</t>
        </is>
      </c>
      <c r="D96" s="419" t="inlineStr">
        <is>
          <t>Asset Management</t>
        </is>
      </c>
      <c r="E96" s="419" t="inlineStr">
        <is>
          <t>Infrastructure</t>
        </is>
      </c>
      <c r="F96" s="419" t="n"/>
    </row>
    <row r="97" ht="15" customHeight="1" s="210">
      <c r="A97" s="419" t="inlineStr">
        <is>
          <t>p108</t>
        </is>
      </c>
      <c r="B97" s="419" t="inlineStr">
        <is>
          <t>Program</t>
        </is>
      </c>
      <c r="C97" s="419" t="inlineStr">
        <is>
          <t>Asset Lifecycle Management</t>
        </is>
      </c>
      <c r="D97" s="419" t="inlineStr">
        <is>
          <t>Asset Management</t>
        </is>
      </c>
      <c r="E97" s="419" t="inlineStr">
        <is>
          <t>Infrastructure</t>
        </is>
      </c>
      <c r="F97" s="419" t="n"/>
    </row>
    <row r="98" ht="15" customHeight="1" s="210">
      <c r="A98" s="419" t="inlineStr">
        <is>
          <t>p109</t>
        </is>
      </c>
      <c r="B98" s="419" t="inlineStr">
        <is>
          <t>Program</t>
        </is>
      </c>
      <c r="C98" s="419" t="inlineStr">
        <is>
          <t>Network Equipment</t>
        </is>
      </c>
      <c r="D98" s="419" t="inlineStr">
        <is>
          <t>Asset Management</t>
        </is>
      </c>
      <c r="E98" s="419" t="inlineStr">
        <is>
          <t>Infrastructure</t>
        </is>
      </c>
      <c r="F98" s="419" t="n"/>
    </row>
    <row r="99" ht="15" customHeight="1" s="210">
      <c r="A99" s="419" t="inlineStr">
        <is>
          <t>p110</t>
        </is>
      </c>
      <c r="B99" s="419" t="inlineStr">
        <is>
          <t>Program</t>
        </is>
      </c>
      <c r="C99" s="419" t="inlineStr">
        <is>
          <t>End User Devices</t>
        </is>
      </c>
      <c r="D99" s="419" t="inlineStr">
        <is>
          <t>Asset Management</t>
        </is>
      </c>
      <c r="E99" s="419" t="inlineStr">
        <is>
          <t>Infrastructure</t>
        </is>
      </c>
      <c r="F99" s="419" t="n"/>
    </row>
    <row r="100" ht="15" customHeight="1" s="210">
      <c r="A100" s="419" t="inlineStr">
        <is>
          <t>p77</t>
        </is>
      </c>
      <c r="B100" s="419" t="inlineStr">
        <is>
          <t>Program</t>
        </is>
      </c>
      <c r="C100" s="419" t="inlineStr">
        <is>
          <t>IT Fiber Network and Servers</t>
        </is>
      </c>
      <c r="D100" s="419" t="inlineStr">
        <is>
          <t>Asset Management</t>
        </is>
      </c>
      <c r="E100" s="419" t="inlineStr">
        <is>
          <t>Infrastructure</t>
        </is>
      </c>
      <c r="F100" s="419" t="n"/>
    </row>
    <row r="101" ht="15" customHeight="1" s="210">
      <c r="A101" s="419" t="inlineStr">
        <is>
          <t>p122</t>
        </is>
      </c>
      <c r="B101" s="419" t="inlineStr">
        <is>
          <t>Program</t>
        </is>
      </c>
      <c r="C101" s="419" t="inlineStr">
        <is>
          <t>Streets, Water / Wastewater Systems</t>
        </is>
      </c>
      <c r="D101" s="419" t="inlineStr">
        <is>
          <t>Asset Management</t>
        </is>
      </c>
      <c r="E101" s="419" t="inlineStr">
        <is>
          <t>Infrastructure</t>
        </is>
      </c>
      <c r="F101" s="419" t="n"/>
    </row>
    <row r="102" ht="15" customHeight="1" s="210">
      <c r="A102" s="419" t="inlineStr">
        <is>
          <t>p111</t>
        </is>
      </c>
      <c r="B102" s="419" t="inlineStr">
        <is>
          <t>Program</t>
        </is>
      </c>
      <c r="C102" s="419" t="inlineStr">
        <is>
          <t>Parks &amp; Recreation Assets</t>
        </is>
      </c>
      <c r="D102" s="419" t="inlineStr">
        <is>
          <t>Asset Management</t>
        </is>
      </c>
      <c r="E102" s="419" t="inlineStr">
        <is>
          <t>Infrastructure</t>
        </is>
      </c>
      <c r="F102" s="419" t="n"/>
    </row>
    <row r="103" ht="15" customHeight="1" s="210">
      <c r="A103" s="419" t="inlineStr">
        <is>
          <t>p78</t>
        </is>
      </c>
      <c r="B103" s="419" t="inlineStr">
        <is>
          <t>Program</t>
        </is>
      </c>
      <c r="C103" s="419" t="inlineStr">
        <is>
          <t>Streets Systems</t>
        </is>
      </c>
      <c r="D103" s="419" t="inlineStr">
        <is>
          <t>Asset Management</t>
        </is>
      </c>
      <c r="E103" s="419" t="inlineStr">
        <is>
          <t>Infrastructure</t>
        </is>
      </c>
      <c r="F103" s="419" t="n"/>
    </row>
    <row r="104" ht="15" customHeight="1" s="210">
      <c r="A104" s="419" t="inlineStr">
        <is>
          <t>p79</t>
        </is>
      </c>
      <c r="B104" s="419" t="inlineStr">
        <is>
          <t>Program</t>
        </is>
      </c>
      <c r="C104" s="419" t="inlineStr">
        <is>
          <t>Water Systems</t>
        </is>
      </c>
      <c r="D104" s="419" t="inlineStr">
        <is>
          <t>Asset Management</t>
        </is>
      </c>
      <c r="E104" s="419" t="inlineStr">
        <is>
          <t>Infrastructure</t>
        </is>
      </c>
      <c r="F104" s="419" t="n"/>
    </row>
    <row r="105" ht="15" customHeight="1" s="210">
      <c r="A105" s="419" t="inlineStr">
        <is>
          <t>p112</t>
        </is>
      </c>
      <c r="B105" s="419" t="inlineStr">
        <is>
          <t>Program</t>
        </is>
      </c>
      <c r="C105" s="419" t="inlineStr">
        <is>
          <t>Wastewater Systems</t>
        </is>
      </c>
      <c r="D105" s="419" t="inlineStr">
        <is>
          <t>Asset Management</t>
        </is>
      </c>
      <c r="E105" s="419" t="inlineStr">
        <is>
          <t>Infrastructure</t>
        </is>
      </c>
      <c r="F105" s="419" t="n"/>
    </row>
    <row r="106" ht="15" customHeight="1" s="210">
      <c r="A106" s="419" t="inlineStr">
        <is>
          <t>p80</t>
        </is>
      </c>
      <c r="B106" s="419" t="inlineStr">
        <is>
          <t>Program</t>
        </is>
      </c>
      <c r="C106" s="419" t="inlineStr">
        <is>
          <t>Airfield &amp; Terminal Operations</t>
        </is>
      </c>
      <c r="D106" s="419" t="inlineStr">
        <is>
          <t>Airport Operations</t>
        </is>
      </c>
      <c r="E106" s="419" t="inlineStr">
        <is>
          <t>Infrastructure</t>
        </is>
      </c>
      <c r="F106" s="419" t="n"/>
    </row>
    <row r="107" ht="15" customHeight="1" s="210">
      <c r="A107" s="419" t="inlineStr">
        <is>
          <t>p81</t>
        </is>
      </c>
      <c r="B107" s="419" t="inlineStr">
        <is>
          <t>Program</t>
        </is>
      </c>
      <c r="C107" s="419" t="inlineStr">
        <is>
          <t>Aviation Services</t>
        </is>
      </c>
      <c r="D107" s="419" t="inlineStr">
        <is>
          <t>Airport Operations</t>
        </is>
      </c>
      <c r="E107" s="419" t="inlineStr">
        <is>
          <t>Infrastructure</t>
        </is>
      </c>
      <c r="F107" s="419" t="n"/>
    </row>
    <row r="108" ht="15" customHeight="1" s="210">
      <c r="A108" s="419" t="inlineStr">
        <is>
          <t>p123</t>
        </is>
      </c>
      <c r="B108" s="419" t="inlineStr">
        <is>
          <t>Program</t>
        </is>
      </c>
      <c r="C108" s="419" t="inlineStr">
        <is>
          <t>Airfield Service</t>
        </is>
      </c>
      <c r="D108" s="419" t="inlineStr">
        <is>
          <t>Airport Operations</t>
        </is>
      </c>
      <c r="E108" s="419" t="inlineStr">
        <is>
          <t>Infrastructure</t>
        </is>
      </c>
      <c r="F108" s="419" t="n"/>
    </row>
    <row r="109" ht="15" customHeight="1" s="210">
      <c r="A109" s="419" t="inlineStr">
        <is>
          <t>p124</t>
        </is>
      </c>
      <c r="B109" s="419" t="inlineStr">
        <is>
          <t>Program</t>
        </is>
      </c>
      <c r="C109" s="419" t="inlineStr">
        <is>
          <t>Terminal and Landside Service</t>
        </is>
      </c>
      <c r="D109" s="419" t="inlineStr">
        <is>
          <t>Airport Operations</t>
        </is>
      </c>
      <c r="E109" s="419" t="inlineStr">
        <is>
          <t>Infrastructure</t>
        </is>
      </c>
      <c r="F109" s="419" t="n"/>
    </row>
    <row r="110" ht="15" customHeight="1" s="210">
      <c r="A110" s="419" t="inlineStr">
        <is>
          <t>p82</t>
        </is>
      </c>
      <c r="B110" s="419" t="inlineStr">
        <is>
          <t>Program</t>
        </is>
      </c>
      <c r="C110" s="419" t="inlineStr">
        <is>
          <t>Library Collections &amp; Resources</t>
        </is>
      </c>
      <c r="D110" s="419" t="inlineStr">
        <is>
          <t>Library &amp; Learning Services</t>
        </is>
      </c>
      <c r="E110" s="419" t="inlineStr">
        <is>
          <t>Parks, Recreation and Cultural Services</t>
        </is>
      </c>
      <c r="F110" s="419" t="n"/>
    </row>
    <row r="111" ht="15" customHeight="1" s="210">
      <c r="A111" s="419" t="inlineStr">
        <is>
          <t>p83</t>
        </is>
      </c>
      <c r="B111" s="419" t="inlineStr">
        <is>
          <t>Program</t>
        </is>
      </c>
      <c r="C111" s="419" t="inlineStr">
        <is>
          <t>Library Space Utilization</t>
        </is>
      </c>
      <c r="D111" s="419" t="inlineStr">
        <is>
          <t>Library &amp; Learning Services</t>
        </is>
      </c>
      <c r="E111" s="419" t="inlineStr">
        <is>
          <t>Parks, Recreation and Cultural Services</t>
        </is>
      </c>
      <c r="F111" s="419" t="n"/>
    </row>
    <row r="112" ht="15" customHeight="1" s="210">
      <c r="A112" s="419" t="inlineStr">
        <is>
          <t>p84</t>
        </is>
      </c>
      <c r="B112" s="419" t="inlineStr">
        <is>
          <t>Program</t>
        </is>
      </c>
      <c r="C112" s="419" t="inlineStr">
        <is>
          <t>Library Direct Patron Service</t>
        </is>
      </c>
      <c r="D112" s="419" t="inlineStr">
        <is>
          <t>Library &amp; Learning Services</t>
        </is>
      </c>
      <c r="E112" s="419" t="inlineStr">
        <is>
          <t>Parks, Recreation and Cultural Services</t>
        </is>
      </c>
      <c r="F112" s="419" t="n"/>
    </row>
    <row r="113" ht="15" customHeight="1" s="210">
      <c r="A113" s="419" t="inlineStr">
        <is>
          <t>p85</t>
        </is>
      </c>
      <c r="B113" s="419" t="inlineStr">
        <is>
          <t>Program</t>
        </is>
      </c>
      <c r="C113" s="419" t="inlineStr">
        <is>
          <t>Library Programming &amp; Outreach</t>
        </is>
      </c>
      <c r="D113" s="419" t="inlineStr">
        <is>
          <t>Library &amp; Learning Services</t>
        </is>
      </c>
      <c r="E113" s="419" t="inlineStr">
        <is>
          <t>Parks, Recreation and Cultural Services</t>
        </is>
      </c>
      <c r="F113" s="419" t="n"/>
    </row>
    <row r="114" ht="15" customHeight="1" s="210">
      <c r="A114" s="419" t="inlineStr">
        <is>
          <t>p88</t>
        </is>
      </c>
      <c r="B114" s="419" t="inlineStr">
        <is>
          <t>Program</t>
        </is>
      </c>
      <c r="C114" s="419" t="inlineStr">
        <is>
          <t>Park Management</t>
        </is>
      </c>
      <c r="D114" s="419" t="inlineStr">
        <is>
          <t>Parks &amp; Open Space Management</t>
        </is>
      </c>
      <c r="E114" s="419" t="inlineStr">
        <is>
          <t>Parks, Recreation and Cultural Services</t>
        </is>
      </c>
      <c r="F114" s="419" t="n"/>
    </row>
    <row r="115" ht="15" customHeight="1" s="210">
      <c r="A115" s="419" t="inlineStr">
        <is>
          <t>p116</t>
        </is>
      </c>
      <c r="B115" s="419" t="inlineStr">
        <is>
          <t>Program</t>
        </is>
      </c>
      <c r="C115" s="419" t="inlineStr">
        <is>
          <t>Cemetery</t>
        </is>
      </c>
      <c r="D115" s="419" t="inlineStr">
        <is>
          <t>Parks &amp; Open Space Management</t>
        </is>
      </c>
      <c r="E115" s="419" t="inlineStr">
        <is>
          <t>Parks, Recreation and Cultural Services</t>
        </is>
      </c>
      <c r="F115" s="419" t="n"/>
    </row>
    <row r="116" ht="15" customHeight="1" s="210">
      <c r="A116" s="419" t="inlineStr">
        <is>
          <t>p89</t>
        </is>
      </c>
      <c r="B116" s="419" t="inlineStr">
        <is>
          <t>Program</t>
        </is>
      </c>
      <c r="C116" s="419" t="inlineStr">
        <is>
          <t>Trails</t>
        </is>
      </c>
      <c r="D116" s="419" t="inlineStr">
        <is>
          <t>Parks &amp; Open Space Management</t>
        </is>
      </c>
      <c r="E116" s="419" t="inlineStr">
        <is>
          <t>Parks, Recreation and Cultural Services</t>
        </is>
      </c>
      <c r="F116" s="419" t="n"/>
    </row>
    <row r="117" ht="15" customHeight="1" s="210">
      <c r="A117" s="419" t="inlineStr">
        <is>
          <t>p117</t>
        </is>
      </c>
      <c r="B117" s="419" t="inlineStr">
        <is>
          <t>Program</t>
        </is>
      </c>
      <c r="C117" s="419" t="inlineStr">
        <is>
          <t>Lake Nighthorse</t>
        </is>
      </c>
      <c r="D117" s="419" t="inlineStr">
        <is>
          <t>Parks &amp; Open Space Management</t>
        </is>
      </c>
      <c r="E117" s="419" t="inlineStr">
        <is>
          <t>Parks, Recreation and Cultural Services</t>
        </is>
      </c>
      <c r="F117" s="419" t="n"/>
    </row>
    <row r="118" ht="15" customHeight="1" s="210">
      <c r="A118" s="419" t="inlineStr">
        <is>
          <t>p118</t>
        </is>
      </c>
      <c r="B118" s="419" t="inlineStr">
        <is>
          <t>Program</t>
        </is>
      </c>
      <c r="C118" s="419" t="inlineStr">
        <is>
          <t>Open Space Management</t>
        </is>
      </c>
      <c r="D118" s="419" t="inlineStr">
        <is>
          <t>Parks &amp; Open Space Management</t>
        </is>
      </c>
      <c r="E118" s="419" t="inlineStr">
        <is>
          <t>Parks, Recreation and Cultural Services</t>
        </is>
      </c>
      <c r="F118" s="419" t="n"/>
    </row>
    <row r="119" ht="15" customHeight="1" s="210">
      <c r="A119" s="419" t="inlineStr">
        <is>
          <t>p125</t>
        </is>
      </c>
      <c r="B119" s="419" t="inlineStr">
        <is>
          <t>Program</t>
        </is>
      </c>
      <c r="C119" s="419" t="inlineStr">
        <is>
          <t>Forestry</t>
        </is>
      </c>
      <c r="D119" s="419" t="inlineStr">
        <is>
          <t>Parks &amp; Open Space Management</t>
        </is>
      </c>
      <c r="E119" s="419" t="inlineStr">
        <is>
          <t>Parks, Recreation and Cultural Services</t>
        </is>
      </c>
      <c r="F119" s="419" t="n"/>
    </row>
    <row r="120" ht="15" customHeight="1" s="210">
      <c r="A120" s="419" t="inlineStr">
        <is>
          <t>p92</t>
        </is>
      </c>
      <c r="B120" s="419" t="inlineStr">
        <is>
          <t>Program</t>
        </is>
      </c>
      <c r="C120" s="419" t="inlineStr">
        <is>
          <t>Recreation Center</t>
        </is>
      </c>
      <c r="D120" s="419" t="inlineStr">
        <is>
          <t>Recreation &amp; Community Programs</t>
        </is>
      </c>
      <c r="E120" s="419" t="inlineStr">
        <is>
          <t>Parks, Recreation and Cultural Services</t>
        </is>
      </c>
      <c r="F120" s="419" t="n"/>
    </row>
    <row r="121" ht="15" customHeight="1" s="210">
      <c r="A121" s="419" t="inlineStr">
        <is>
          <t>p94</t>
        </is>
      </c>
      <c r="B121" s="419" t="inlineStr">
        <is>
          <t>Program</t>
        </is>
      </c>
      <c r="C121" s="419" t="inlineStr">
        <is>
          <t>Youth/Teen Recreation Programs</t>
        </is>
      </c>
      <c r="D121" s="419" t="inlineStr">
        <is>
          <t>Recreation &amp; Community Programs</t>
        </is>
      </c>
      <c r="E121" s="419" t="inlineStr">
        <is>
          <t>Parks, Recreation and Cultural Services</t>
        </is>
      </c>
      <c r="F121" s="419" t="n"/>
    </row>
    <row r="122" ht="15" customHeight="1" s="210">
      <c r="A122" s="419" t="inlineStr">
        <is>
          <t>p96</t>
        </is>
      </c>
      <c r="B122" s="419" t="inlineStr">
        <is>
          <t>Program</t>
        </is>
      </c>
      <c r="C122" s="419" t="inlineStr">
        <is>
          <t>Adult/Senior Recreation Programs</t>
        </is>
      </c>
      <c r="D122" s="419" t="inlineStr">
        <is>
          <t>Recreation &amp; Community Programs</t>
        </is>
      </c>
      <c r="E122" s="419" t="inlineStr">
        <is>
          <t>Parks, Recreation and Cultural Services</t>
        </is>
      </c>
      <c r="F122" s="419" t="n"/>
    </row>
    <row r="123" ht="15" customHeight="1" s="210">
      <c r="A123" s="419" t="inlineStr">
        <is>
          <t>p119</t>
        </is>
      </c>
      <c r="B123" s="419" t="inlineStr">
        <is>
          <t>Program</t>
        </is>
      </c>
      <c r="C123" s="419" t="inlineStr">
        <is>
          <t>Chapman Hill</t>
        </is>
      </c>
      <c r="D123" s="419" t="inlineStr">
        <is>
          <t>Recreation &amp; Community Programs</t>
        </is>
      </c>
      <c r="E123" s="419" t="inlineStr">
        <is>
          <t>Parks, Recreation and Cultural Services</t>
        </is>
      </c>
      <c r="F123" s="419" t="n"/>
    </row>
    <row r="124" ht="15" customHeight="1" s="210">
      <c r="A124" s="419" t="inlineStr">
        <is>
          <t>p120</t>
        </is>
      </c>
      <c r="B124" s="419" t="inlineStr">
        <is>
          <t>Program</t>
        </is>
      </c>
      <c r="C124" s="419" t="inlineStr">
        <is>
          <t>Gymnastics Programs</t>
        </is>
      </c>
      <c r="D124" s="419" t="inlineStr">
        <is>
          <t>Recreation &amp; Community Programs</t>
        </is>
      </c>
      <c r="E124" s="419" t="inlineStr">
        <is>
          <t>Parks, Recreation and Cultural Services</t>
        </is>
      </c>
      <c r="F124" s="419" t="n"/>
    </row>
    <row r="125" ht="15" customHeight="1" s="210">
      <c r="A125" s="419" t="inlineStr">
        <is>
          <t>p121</t>
        </is>
      </c>
      <c r="B125" s="419" t="inlineStr">
        <is>
          <t>Program</t>
        </is>
      </c>
      <c r="C125" s="419" t="inlineStr">
        <is>
          <t>Childcare</t>
        </is>
      </c>
      <c r="D125" s="419" t="inlineStr">
        <is>
          <t>Recreation &amp; Community Programs</t>
        </is>
      </c>
      <c r="E125" s="419" t="inlineStr">
        <is>
          <t>Parks, Recreation and Cultural Services</t>
        </is>
      </c>
      <c r="F125" s="419" t="n"/>
    </row>
    <row r="126" ht="15" customHeight="1" s="210">
      <c r="A126" s="419" t="inlineStr">
        <is>
          <t>p95</t>
        </is>
      </c>
      <c r="B126" s="419" t="inlineStr">
        <is>
          <t>Program</t>
        </is>
      </c>
      <c r="C126" s="419" t="inlineStr">
        <is>
          <t>Community Events</t>
        </is>
      </c>
      <c r="D126" s="419" t="inlineStr">
        <is>
          <t>Recreation &amp; Community Programs</t>
        </is>
      </c>
      <c r="E126" s="419" t="inlineStr">
        <is>
          <t>Parks, Recreation and Cultural Services</t>
        </is>
      </c>
      <c r="F126" s="419" t="n"/>
    </row>
    <row r="127" ht="15" customHeight="1" s="210">
      <c r="A127" s="419" t="inlineStr">
        <is>
          <t>g1</t>
        </is>
      </c>
      <c r="B127" s="419" t="inlineStr">
        <is>
          <t>Goal</t>
        </is>
      </c>
      <c r="C127" s="419" t="inlineStr">
        <is>
          <t>Organizational Stewardship</t>
        </is>
      </c>
      <c r="D127" s="419" t="n"/>
      <c r="E127" s="419" t="n"/>
      <c r="F127" s="419" t="n"/>
      <c r="G127" s="417" t="inlineStr">
        <is>
          <t>Organizational Stewardship addresses the key infrastructure and foundational processes in the organization that serve as a framework for success, ensuring the organization has the resources and approaches in place to support strategic and operational focus. This goal area ensures the integration of organizational efforts and critical factors for short-term success and long-term sustainability.</t>
        </is>
      </c>
    </row>
    <row r="128" ht="15" customHeight="1" s="210">
      <c r="A128" s="419" t="inlineStr">
        <is>
          <t>g2</t>
        </is>
      </c>
      <c r="B128" s="419" t="inlineStr">
        <is>
          <t>Goal</t>
        </is>
      </c>
      <c r="C128" s="419" t="inlineStr">
        <is>
          <t>Innovative Housing and Economic Development</t>
        </is>
      </c>
      <c r="D128" s="419" t="n"/>
      <c r="E128" s="419" t="n"/>
      <c r="F128" s="419" t="n"/>
      <c r="G128" s="417" t="inlineStr">
        <is>
          <t>Innovative Housing &amp; Economic Development (IHED) aims to advance the city’s housing and economic landscape through strategic partnerships and innovative solutions that bridge the affordability gap and support a multigenerational community. This goal area strives to propel economic progress by encouraging regional collaboration, entrepreneurship, and business growth, underpinned by city-supported initiatives. It also aims to enhance Durango’s unique charm and economic competitiveness by promoting community involvement, strategic infrastructure development, and robust public-private collaborations.</t>
        </is>
      </c>
    </row>
    <row r="129" ht="15" customHeight="1" s="210">
      <c r="A129" s="419" t="inlineStr">
        <is>
          <t>g3</t>
        </is>
      </c>
      <c r="B129" s="419" t="inlineStr">
        <is>
          <t>Goal</t>
        </is>
      </c>
      <c r="C129" s="419" t="inlineStr">
        <is>
          <t>Safety &amp; Quality of Life</t>
        </is>
      </c>
      <c r="D129" s="419" t="n"/>
      <c r="E129" s="419" t="n"/>
      <c r="F129" s="419" t="n"/>
      <c r="G129" s="417" t="inlineStr">
        <is>
          <t>Safety &amp; Quality of Life (SQL) focuses on fostering a safe and vibrant community by ensuring the continuous enhancement of police, emergency response, and code enforcement services. This goal area emphasizes the importance of sustainable cultural, artistic, literary, and recreational programs that meet diverse community needs, and the ongoing stewardship of parks, trails, and natural lands to enhance the community’s quality of life.</t>
        </is>
      </c>
    </row>
    <row r="130" ht="15" customHeight="1" s="210">
      <c r="A130" s="419" t="inlineStr">
        <is>
          <t>g4</t>
        </is>
      </c>
      <c r="B130" s="419" t="inlineStr">
        <is>
          <t>Goal</t>
        </is>
      </c>
      <c r="C130" s="419" t="inlineStr">
        <is>
          <t>Reliable Infrastructure and Community Connectivity</t>
        </is>
      </c>
      <c r="D130" s="419" t="n"/>
      <c r="E130" s="419" t="n"/>
      <c r="F130" s="419" t="n"/>
      <c r="G130" s="417" t="inlineStr">
        <is>
          <t>Reliable Infrastructure &amp; Community Connectivity (RICC) focuses on establishing a resilient and efficient infrastructure network that supports safe and accessible transportation, innovative utility management, and reliable IT systems. This goal area is committed to enhancing the city’s transportation infrastructure, ensuring compliance with environmental standards, maintaining the regional airport as a key aviation hub, and improving existing infrastructure.</t>
        </is>
      </c>
    </row>
    <row r="131" ht="15" customHeight="1" s="210">
      <c r="A131" s="419" t="inlineStr">
        <is>
          <t>g5</t>
        </is>
      </c>
      <c r="B131" s="419" t="inlineStr">
        <is>
          <t>Goal</t>
        </is>
      </c>
      <c r="C131" s="419" t="inlineStr">
        <is>
          <t>Engaged and Informed Community</t>
        </is>
      </c>
      <c r="D131" s="419" t="n"/>
      <c r="E131" s="419" t="n"/>
      <c r="F131" s="419" t="n"/>
      <c r="G131" s="417" t="inlineStr">
        <is>
          <t>Engaged &amp; Informed Community (EIC) is dedicated to creating a vibrant civic culture by championing systematic approaches to community engagement, education, and outreach. EIC is focused on cultivating effective communication channels that offer open and accessible information, thereby empowering residents to be actively involved in community affairs and contributing to well-connected and informed citizens.</t>
        </is>
      </c>
    </row>
    <row r="132" ht="15" customHeight="1" s="210">
      <c r="A132" s="419" t="inlineStr">
        <is>
          <t>g6</t>
        </is>
      </c>
      <c r="B132" s="419" t="inlineStr">
        <is>
          <t>Goal</t>
        </is>
      </c>
      <c r="C132" s="419" t="inlineStr">
        <is>
          <t>Strategic Workforce Development</t>
        </is>
      </c>
      <c r="D132" s="419" t="n"/>
      <c r="E132" s="419" t="n"/>
      <c r="F132" s="419" t="n"/>
      <c r="G132" s="417" t="inlineStr">
        <is>
          <t>Strategic Workforce Development (SWD) is dedicated to enhancing the skills, capabilities, and satisfaction of Durango’s employees. By investing in comprehensive training programs and career development opportunities, SWD aims to build a resilient and adaptable workforce. This goal area underpins the strategic deployment of human resources, ensuring alignment with the city’s long-term objectives and immediate operational needs, thereby strengthening the foundation for sustainable growth and innovation.</t>
        </is>
      </c>
    </row>
    <row r="133" ht="15" customHeight="1" s="210">
      <c r="A133" s="419" t="inlineStr">
        <is>
          <t>ob1</t>
        </is>
      </c>
      <c r="B133" s="419" t="inlineStr">
        <is>
          <t>Objective</t>
        </is>
      </c>
      <c r="C133" s="419" t="inlineStr">
        <is>
          <t>1.1 Financial Sustainability and Innovation</t>
        </is>
      </c>
      <c r="D133" s="419" t="n"/>
      <c r="E133" s="419" t="n"/>
      <c r="F133" s="419" t="inlineStr">
        <is>
          <t>Organizational Stewardship</t>
        </is>
      </c>
      <c r="G133" s="417" t="inlineStr">
        <is>
          <t>Ensure a financially sustainable and innovation-led framework that thrives on building effective partnerships to alleviate city costs, and harnesses the power of technology for efficiency.</t>
        </is>
      </c>
    </row>
    <row r="134" ht="15" customHeight="1" s="210">
      <c r="A134" s="419" t="inlineStr">
        <is>
          <t>ob2</t>
        </is>
      </c>
      <c r="B134" s="419" t="inlineStr">
        <is>
          <t>Objective</t>
        </is>
      </c>
      <c r="C134" s="419" t="inlineStr">
        <is>
          <t>1.2 Community Partnerships and Inclusion</t>
        </is>
      </c>
      <c r="D134" s="419" t="n"/>
      <c r="E134" s="419" t="n"/>
      <c r="F134" s="419" t="inlineStr">
        <is>
          <t>Organizational Stewardship</t>
        </is>
      </c>
      <c r="G134" s="417" t="inlineStr">
        <is>
          <t>Foster strong community group partnerships through effective communication and a commitment to diversity, equity, and inclusivity efforts while focusing on increased accessibility of services for underserved communities.</t>
        </is>
      </c>
    </row>
    <row r="135" ht="15" customHeight="1" s="210">
      <c r="A135" s="419" t="inlineStr">
        <is>
          <t>ob3</t>
        </is>
      </c>
      <c r="B135" s="419" t="inlineStr">
        <is>
          <t>Objective</t>
        </is>
      </c>
      <c r="C135" s="419" t="inlineStr">
        <is>
          <t>1.3 Environmental Stewardship</t>
        </is>
      </c>
      <c r="D135" s="419" t="n"/>
      <c r="E135" s="419" t="n"/>
      <c r="F135" s="419" t="inlineStr">
        <is>
          <t>Organizational Stewardship</t>
        </is>
      </c>
      <c r="G135" s="417" t="inlineStr">
        <is>
          <t>Advance a systematic approach toward environmental sustainability through focused efforts to conserve resources and mitigate environmental stressors by meeting or exceeding local, state, and national standards.</t>
        </is>
      </c>
    </row>
    <row r="136" ht="69.75" customHeight="1" s="210">
      <c r="A136" s="419" t="inlineStr">
        <is>
          <t>ob4</t>
        </is>
      </c>
      <c r="B136" s="419" t="inlineStr">
        <is>
          <t>Objective</t>
        </is>
      </c>
      <c r="C136" s="419" t="inlineStr">
        <is>
          <t>2.1 Affordable, Multigenerational Housing</t>
        </is>
      </c>
      <c r="D136" s="419" t="n"/>
      <c r="E136" s="419" t="n"/>
      <c r="F136" s="419" t="inlineStr">
        <is>
          <t>Innovative Housing and Economic Development</t>
        </is>
      </c>
      <c r="G136" s="417" t="inlineStr">
        <is>
          <t>Cultivate innovative housing solutions and partnerships to advance the development of a variety of housing options to support a multigenerational and mixed-income community by narrowing the gap between income levels and housing affordability.</t>
        </is>
      </c>
    </row>
    <row r="137" ht="111.75" customHeight="1" s="210">
      <c r="A137" s="419" t="inlineStr">
        <is>
          <t>ob5</t>
        </is>
      </c>
      <c r="B137" s="419" t="inlineStr">
        <is>
          <t>Objective</t>
        </is>
      </c>
      <c r="C137" s="419" t="inlineStr">
        <is>
          <t>2.2 Economic Growth and Entrepreneurship</t>
        </is>
      </c>
      <c r="D137" s="419" t="n"/>
      <c r="E137" s="419" t="n"/>
      <c r="F137" s="419" t="inlineStr">
        <is>
          <t>Innovative Housing and Economic Development</t>
        </is>
      </c>
      <c r="G137" s="417" t="inlineStr">
        <is>
          <t>Stimulate economic progress and resiliency through strategic collaboration, nurturing entrepreneurship and supporting business growth through well-designed City services and programs.</t>
        </is>
      </c>
    </row>
    <row r="138" ht="84" customHeight="1" s="210">
      <c r="A138" s="419" t="inlineStr">
        <is>
          <t>ob6</t>
        </is>
      </c>
      <c r="B138" s="419" t="inlineStr">
        <is>
          <t>Objective</t>
        </is>
      </c>
      <c r="C138" s="419" t="inlineStr">
        <is>
          <t>2.3 Community Character and Investments</t>
        </is>
      </c>
      <c r="D138" s="419" t="n"/>
      <c r="E138" s="419" t="n"/>
      <c r="F138" s="419" t="inlineStr">
        <is>
          <t>Innovative Housing and Economic Development</t>
        </is>
      </c>
      <c r="G138" s="417" t="inlineStr">
        <is>
          <t>Preserve and enhance Durango’s distinctive appeal and competitive edge as an attractive community by engaging in community-driven planning, strategic infrastructure investments, and partnerships between the public and private sectors.</t>
        </is>
      </c>
    </row>
    <row r="139" ht="84" customHeight="1" s="210">
      <c r="A139" s="419" t="inlineStr">
        <is>
          <t>ob7</t>
        </is>
      </c>
      <c r="B139" s="419" t="inlineStr">
        <is>
          <t>Objective</t>
        </is>
      </c>
      <c r="C139" s="419" t="inlineStr">
        <is>
          <t>3.1 Public Safety and Emergency Services</t>
        </is>
      </c>
      <c r="D139" s="419" t="n"/>
      <c r="E139" s="419" t="n"/>
      <c r="F139" s="419" t="inlineStr">
        <is>
          <t>Safety &amp; Quality of Life</t>
        </is>
      </c>
      <c r="G139" s="417" t="inlineStr">
        <is>
          <t>Ensure the seamless operation and continual enhancement of police, code enforcement, 911 communications, and contracted emergency services to advance public safety measures, and cooperative emergency preparedness to reinforce community trust to reduce targeted crime rates and enhance the overall sense of safety.</t>
        </is>
      </c>
    </row>
    <row r="140" ht="69.75" customHeight="1" s="210">
      <c r="A140" s="419" t="inlineStr">
        <is>
          <t>ob8</t>
        </is>
      </c>
      <c r="B140" s="419" t="inlineStr">
        <is>
          <t>Objective</t>
        </is>
      </c>
      <c r="C140" s="419" t="inlineStr">
        <is>
          <t>3.2 Arts, Culture, and Recreation</t>
        </is>
      </c>
      <c r="D140" s="419" t="n"/>
      <c r="E140" s="419" t="n"/>
      <c r="F140" s="419" t="inlineStr">
        <is>
          <t>Safety &amp; Quality of Life</t>
        </is>
      </c>
      <c r="G140" s="417" t="inlineStr">
        <is>
          <t>Provide sustainable and inclusive arts, literacy, culture, and recreation opportunities by listening to the community’s diverse needs.</t>
        </is>
      </c>
    </row>
    <row r="141" ht="97.5" customHeight="1" s="210">
      <c r="A141" s="419" t="inlineStr">
        <is>
          <t>ob9</t>
        </is>
      </c>
      <c r="B141" s="419" t="inlineStr">
        <is>
          <t>Objective</t>
        </is>
      </c>
      <c r="C141" s="419" t="inlineStr">
        <is>
          <t>3.3 Parks, Trails and Natural Lands</t>
        </is>
      </c>
      <c r="D141" s="419" t="n"/>
      <c r="E141" s="419" t="n"/>
      <c r="F141" s="419" t="inlineStr">
        <is>
          <t>Safety &amp; Quality of Life</t>
        </is>
      </c>
      <c r="G141" s="417" t="inlineStr">
        <is>
          <t>Continue the ongoing maintenance, preservation, and acquisition of quality parks, trails, and natural lands.</t>
        </is>
      </c>
    </row>
    <row r="142" ht="42" customHeight="1" s="210">
      <c r="A142" s="419" t="inlineStr">
        <is>
          <t>ob10</t>
        </is>
      </c>
      <c r="B142" s="419" t="inlineStr">
        <is>
          <t>Objective</t>
        </is>
      </c>
      <c r="C142" s="419" t="inlineStr">
        <is>
          <t>4.1 Safe, Accessible Mobility</t>
        </is>
      </c>
      <c r="D142" s="419" t="n"/>
      <c r="E142" s="419" t="n"/>
      <c r="F142" s="419" t="inlineStr">
        <is>
          <t>Reliable Infrastructure and Community Connectivity</t>
        </is>
      </c>
      <c r="G142" s="417" t="inlineStr">
        <is>
          <t>Provide consistently safe, reliable, and accessible mobility and transportation services throughout the community.</t>
        </is>
      </c>
    </row>
    <row r="143" ht="42" customHeight="1" s="210">
      <c r="A143" s="419" t="inlineStr">
        <is>
          <t>ob11</t>
        </is>
      </c>
      <c r="B143" s="419" t="inlineStr">
        <is>
          <t>Objective</t>
        </is>
      </c>
      <c r="C143" s="419" t="inlineStr">
        <is>
          <t>4.2 Transportation Infrastructure Investment</t>
        </is>
      </c>
      <c r="D143" s="419" t="n"/>
      <c r="E143" s="419" t="n"/>
      <c r="F143" s="419" t="inlineStr">
        <is>
          <t>Reliable Infrastructure and Community Connectivity</t>
        </is>
      </c>
      <c r="G143" s="417" t="inlineStr">
        <is>
          <t>Invest in transportation and infrastructure systems that maximize safety, mobility, innovation, accessibility, and user satisfaction.</t>
        </is>
      </c>
    </row>
    <row r="144" ht="42" customHeight="1" s="210">
      <c r="A144" s="419" t="inlineStr">
        <is>
          <t>ob12</t>
        </is>
      </c>
      <c r="B144" s="419" t="inlineStr">
        <is>
          <t>Objective</t>
        </is>
      </c>
      <c r="C144" s="419" t="inlineStr">
        <is>
          <t>4.3 Water and Wastewater Systems</t>
        </is>
      </c>
      <c r="D144" s="419" t="n"/>
      <c r="E144" s="419" t="n"/>
      <c r="F144" s="419" t="inlineStr">
        <is>
          <t>Reliable Infrastructure and Community Connectivity</t>
        </is>
      </c>
      <c r="G144" s="417" t="inlineStr">
        <is>
          <t>Uphold a continuous, high-efficiency system for managing water, wastewater, and stormwater systems that adhere to strict compliance with environmental regulations.</t>
        </is>
      </c>
    </row>
    <row r="145" ht="42" customHeight="1" s="210">
      <c r="A145" s="419" t="inlineStr">
        <is>
          <t>ob13</t>
        </is>
      </c>
      <c r="B145" s="419" t="inlineStr">
        <is>
          <t>Objective</t>
        </is>
      </c>
      <c r="C145" s="419" t="inlineStr">
        <is>
          <t>4.4 Airport and Aviation Hubs</t>
        </is>
      </c>
      <c r="D145" s="419" t="n"/>
      <c r="E145" s="419" t="n"/>
      <c r="F145" s="419" t="inlineStr">
        <is>
          <t>Reliable Infrastructure and Community Connectivity</t>
        </is>
      </c>
      <c r="G145" s="417" t="inlineStr">
        <is>
          <t>Maintain and enhance DRO’s status as the key regional hub for aviation services by delivering safe, efficient, and sustainable airport operations and promoting a competitive airline environment.</t>
        </is>
      </c>
    </row>
    <row r="146" ht="42" customHeight="1" s="210">
      <c r="A146" s="419" t="inlineStr">
        <is>
          <t>ob14</t>
        </is>
      </c>
      <c r="B146" s="419" t="inlineStr">
        <is>
          <t>Objective</t>
        </is>
      </c>
      <c r="C146" s="419" t="inlineStr">
        <is>
          <t>4.5 Reliable and Secure IT Infrastrucutre</t>
        </is>
      </c>
      <c r="D146" s="419" t="n"/>
      <c r="E146" s="419" t="n"/>
      <c r="F146" s="419" t="inlineStr">
        <is>
          <t>Reliable Infrastructure and Community Connectivity</t>
        </is>
      </c>
      <c r="G146" s="417" t="inlineStr">
        <is>
          <t>Provide resources supporting maintenance, expansion, and ensuring reliable and secure IT infrastructure management.</t>
        </is>
      </c>
    </row>
    <row r="147" ht="42" customHeight="1" s="210">
      <c r="A147" s="419" t="inlineStr">
        <is>
          <t>ob15</t>
        </is>
      </c>
      <c r="B147" s="419" t="inlineStr">
        <is>
          <t>Objective</t>
        </is>
      </c>
      <c r="C147" s="419" t="inlineStr">
        <is>
          <t>4.6 City surface Transit and Right of Way</t>
        </is>
      </c>
      <c r="D147" s="419" t="n"/>
      <c r="E147" s="419" t="n"/>
      <c r="F147" s="419" t="inlineStr">
        <is>
          <t>Reliable Infrastructure and Community Connectivity</t>
        </is>
      </c>
      <c r="G147" s="417" t="inlineStr">
        <is>
          <t>Continue planned expansion of City surface transportation system and maintain existing assets within Right of Way</t>
        </is>
      </c>
    </row>
    <row r="148" ht="69.75" customHeight="1" s="210">
      <c r="A148" s="419" t="inlineStr">
        <is>
          <t>ob16</t>
        </is>
      </c>
      <c r="B148" s="419" t="inlineStr">
        <is>
          <t>Objective</t>
        </is>
      </c>
      <c r="C148" s="419" t="inlineStr">
        <is>
          <t>5.1 Civic and Engaged Communication</t>
        </is>
      </c>
      <c r="D148" s="419" t="n"/>
      <c r="E148" s="419" t="n"/>
      <c r="F148" s="419" t="inlineStr">
        <is>
          <t>Engaged and Informed Community</t>
        </is>
      </c>
      <c r="G148" s="417" t="inlineStr">
        <is>
          <t>Champion a systematic approach where community engagement, education, outreach and communication thrive as cornerstones of civic involvement.</t>
        </is>
      </c>
    </row>
    <row r="149" ht="27.75" customHeight="1" s="210">
      <c r="A149" s="419" t="inlineStr">
        <is>
          <t>ob17</t>
        </is>
      </c>
      <c r="B149" s="419" t="inlineStr">
        <is>
          <t>Objective</t>
        </is>
      </c>
      <c r="C149" s="419" t="inlineStr">
        <is>
          <t>5.2 Open and Accessible Information Communication</t>
        </is>
      </c>
      <c r="D149" s="419" t="n"/>
      <c r="E149" s="419" t="n"/>
      <c r="F149" s="419" t="inlineStr">
        <is>
          <t>Engaged and Informed Community</t>
        </is>
      </c>
      <c r="G149" s="417" t="inlineStr">
        <is>
          <t>Cultivate and leverage communication systems through convenient, open, and accessible information.</t>
        </is>
      </c>
    </row>
    <row r="150" ht="27.75" customHeight="1" s="210">
      <c r="A150" s="419" t="inlineStr">
        <is>
          <t>ob18</t>
        </is>
      </c>
      <c r="B150" s="419" t="inlineStr">
        <is>
          <t>Objective</t>
        </is>
      </c>
      <c r="C150" s="419" t="inlineStr">
        <is>
          <t>6.1 Employee Growth and Retention</t>
        </is>
      </c>
      <c r="D150" s="419" t="n"/>
      <c r="E150" s="419" t="n"/>
      <c r="F150" s="419" t="inlineStr">
        <is>
          <t>Strategic Workforce Development</t>
        </is>
      </c>
      <c r="G150" s="417" t="inlineStr">
        <is>
          <t>Foster a workplace culture designed to attract and retain diverse, skilled and engaged staff members, which enhances employee satisfaction, engagement and performance by offering an environment reflective of the City’s commitment to excellence and strategic alignment.</t>
        </is>
      </c>
    </row>
    <row r="151" ht="27.75" customHeight="1" s="210">
      <c r="A151" s="419" t="inlineStr">
        <is>
          <t>ob19</t>
        </is>
      </c>
      <c r="B151" s="419" t="inlineStr">
        <is>
          <t>Objective</t>
        </is>
      </c>
      <c r="C151" s="419" t="inlineStr">
        <is>
          <t>6.2 Comprehensive Career Progression Strategy</t>
        </is>
      </c>
      <c r="D151" s="419" t="n"/>
      <c r="E151" s="419" t="n"/>
      <c r="F151" s="419" t="inlineStr">
        <is>
          <t>Strategic Workforce Development</t>
        </is>
      </c>
      <c r="G151" s="417" t="inlineStr">
        <is>
          <t>Ensure a comprehensive career progression strategy that readies employees for key roles and leadership positions in alignment with the City’s long-term goals.</t>
        </is>
      </c>
    </row>
    <row r="152" ht="27.75" customHeight="1" s="210">
      <c r="A152" s="419" t="inlineStr">
        <is>
          <t>ob20</t>
        </is>
      </c>
      <c r="B152" s="419" t="inlineStr">
        <is>
          <t>Objective</t>
        </is>
      </c>
      <c r="C152" s="419" t="inlineStr">
        <is>
          <t>6.3 Workforce Preparedness and Optimization</t>
        </is>
      </c>
      <c r="D152" s="419" t="n"/>
      <c r="E152" s="419" t="n"/>
      <c r="F152" s="419" t="inlineStr">
        <is>
          <t>Strategic Workforce Development</t>
        </is>
      </c>
      <c r="G152" s="417" t="inlineStr">
        <is>
          <t>Facilitate workforce preparedness through management of City processes, capacity and capability, ensuring optimization of staff skill levels designed to meet operational needs and evolving municipal demands.</t>
        </is>
      </c>
    </row>
    <row r="153" ht="27.75" customHeight="1" s="210">
      <c r="A153" s="419" t="n"/>
      <c r="B153" s="419" t="n"/>
      <c r="C153" s="419" t="n"/>
      <c r="D153" s="419" t="n"/>
      <c r="E153" s="419" t="n"/>
      <c r="F153" s="419" t="n"/>
      <c r="G153" s="417" t="n"/>
    </row>
    <row r="154" ht="42" customHeight="1" s="210">
      <c r="A154" s="420" t="inlineStr">
        <is>
          <t>This list mirrors data.json as of 16 October 2026 (Program names match the Metric Wireframe (work system) sheet). Goal and Objective descriptions are council-adopted wording from the 2024 Strategic Plan; do not edit them.</t>
        </is>
      </c>
      <c r="B154" s="419" t="n"/>
      <c r="C154" s="419" t="n"/>
      <c r="D154" s="419" t="n"/>
      <c r="E154" s="419" t="n"/>
      <c r="F154" s="419" t="n"/>
      <c r="G154" s="417" t="n"/>
    </row>
    <row r="155" ht="27.75" customHeight="1" s="210">
      <c r="A155" s="419" t="n"/>
      <c r="B155" s="419" t="n"/>
      <c r="C155" s="419" t="n"/>
      <c r="D155" s="419" t="n"/>
      <c r="E155" s="419" t="n"/>
      <c r="F155" s="419" t="n"/>
      <c r="G155" s="417" t="n"/>
    </row>
    <row r="156" ht="27.75" customHeight="1" s="210">
      <c r="A156" s="419" t="n"/>
      <c r="B156" s="419" t="n"/>
      <c r="C156" s="419" t="n"/>
      <c r="D156" s="419" t="n"/>
      <c r="E156" s="419" t="n"/>
      <c r="F156" s="419" t="n"/>
      <c r="G156" s="417" t="n"/>
    </row>
    <row r="157" ht="27.75" customHeight="1" s="210">
      <c r="A157" s="419" t="n"/>
      <c r="B157" s="419" t="n"/>
      <c r="C157" s="419" t="n"/>
      <c r="D157" s="419" t="n"/>
      <c r="E157" s="419" t="n"/>
      <c r="F157" s="419" t="n"/>
      <c r="G157" s="417" t="n"/>
    </row>
    <row r="158" ht="27.75" customHeight="1" s="210">
      <c r="A158" s="419" t="n"/>
      <c r="B158" s="419" t="n"/>
      <c r="C158" s="419" t="n"/>
      <c r="D158" s="419" t="n"/>
      <c r="E158" s="419" t="n"/>
      <c r="F158" s="419" t="n"/>
      <c r="G158" s="417" t="n"/>
    </row>
    <row r="159" ht="55.5" customHeight="1" s="210">
      <c r="A159" s="419" t="n"/>
      <c r="B159" s="419" t="n"/>
      <c r="C159" s="419" t="n"/>
      <c r="D159" s="419" t="n"/>
      <c r="E159" s="419" t="n"/>
      <c r="F159" s="419" t="n"/>
      <c r="G159" s="417" t="n"/>
    </row>
    <row r="160" ht="27.75" customHeight="1" s="210">
      <c r="A160" s="419" t="n"/>
      <c r="B160" s="419" t="n"/>
      <c r="C160" s="419" t="n"/>
      <c r="D160" s="419" t="n"/>
      <c r="E160" s="419" t="n"/>
      <c r="F160" s="419" t="n"/>
      <c r="G160" s="417" t="n"/>
    </row>
    <row r="161" ht="42" customHeight="1" s="210">
      <c r="A161" s="419" t="n"/>
      <c r="B161" s="419" t="n"/>
      <c r="C161" s="419" t="n"/>
      <c r="D161" s="419" t="n"/>
      <c r="E161" s="419" t="n"/>
      <c r="F161" s="419" t="n"/>
      <c r="G161" s="417" t="n"/>
    </row>
    <row r="163" ht="15" customHeight="1" s="210">
      <c r="A163" s="420" t="n"/>
    </row>
  </sheetData>
  <autoFilter ref="A1:F1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F2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17" activeCellId="0" sqref="B17"/>
    </sheetView>
  </sheetViews>
  <sheetFormatPr baseColWidth="8" defaultColWidth="8.66796875" defaultRowHeight="15" zeroHeight="0" outlineLevelRow="0"/>
  <cols>
    <col width="14" customWidth="1" style="209" min="1" max="1"/>
    <col width="42" customWidth="1" style="209" min="2" max="2"/>
    <col width="34" customWidth="1" style="209" min="3" max="3"/>
    <col width="13" customWidth="1" style="209" min="4" max="4"/>
    <col width="46" customWidth="1" style="209" min="5" max="5"/>
    <col width="44" customWidth="1" style="209" min="6" max="6"/>
  </cols>
  <sheetData>
    <row r="1" ht="15" customHeight="1" s="210">
      <c r="A1" s="349" t="inlineStr">
        <is>
          <t>Key Service ID</t>
        </is>
      </c>
      <c r="B1" s="349" t="inlineStr">
        <is>
          <t>Key Service (auto)</t>
        </is>
      </c>
      <c r="C1" s="349" t="inlineStr">
        <is>
          <t>Work System (auto)</t>
        </is>
      </c>
      <c r="D1" s="349" t="inlineStr">
        <is>
          <t>Objective ID</t>
        </is>
      </c>
      <c r="E1" s="349" t="inlineStr">
        <is>
          <t>Objective (auto)</t>
        </is>
      </c>
      <c r="F1" s="349" t="inlineStr">
        <is>
          <t>Goal (auto)</t>
        </is>
      </c>
    </row>
    <row r="2" ht="15" customHeight="1" s="210">
      <c r="A2" s="419" t="inlineStr">
        <is>
          <t>ks1</t>
        </is>
      </c>
      <c r="B2" s="355">
        <f>IF(A2="","",IFERROR(INDEX('Dashboard Items'!$C$2:$C$495,MATCH(A2,'Dashboard Items'!$A$2:$A$495,0)),"ID not found"))</f>
        <v/>
      </c>
      <c r="C2" s="355">
        <f>IF(A2="","",IFERROR(INDEX('Dashboard Items'!$E$2:$E$495,MATCH(A2,'Dashboard Items'!$A$2:$A$495,0)),"ID not found"))</f>
        <v/>
      </c>
      <c r="D2" s="419" t="inlineStr">
        <is>
          <t>ob1</t>
        </is>
      </c>
      <c r="E2" s="355">
        <f>IF(D2="","",IFERROR(INDEX('Dashboard Items'!$C$2:$C$495,MATCH(D2,'Dashboard Items'!$A$2:$A$495,0)),"ID not found"))</f>
        <v/>
      </c>
      <c r="F2" s="355">
        <f>IF(D2="","",IFERROR(INDEX('Dashboard Items'!$F$2:$F$495,MATCH(D2,'Dashboard Items'!$A$2:$A$495,0)),"ID not found"))</f>
        <v/>
      </c>
    </row>
    <row r="3" ht="15" customHeight="1" s="210">
      <c r="A3" s="419" t="inlineStr">
        <is>
          <t>ks1</t>
        </is>
      </c>
      <c r="B3" s="355">
        <f>IF(A3="","",IFERROR(INDEX('Dashboard Items'!$C$2:$C$495,MATCH(A3,'Dashboard Items'!$A$2:$A$495,0)),"ID not found"))</f>
        <v/>
      </c>
      <c r="C3" s="355">
        <f>IF(A3="","",IFERROR(INDEX('Dashboard Items'!$E$2:$E$495,MATCH(A3,'Dashboard Items'!$A$2:$A$495,0)),"ID not found"))</f>
        <v/>
      </c>
      <c r="D3" s="419" t="inlineStr">
        <is>
          <t>ob2</t>
        </is>
      </c>
      <c r="E3" s="355">
        <f>IF(D3="","",IFERROR(INDEX('Dashboard Items'!$C$2:$C$495,MATCH(D3,'Dashboard Items'!$A$2:$A$495,0)),"ID not found"))</f>
        <v/>
      </c>
      <c r="F3" s="355">
        <f>IF(D3="","",IFERROR(INDEX('Dashboard Items'!$F$2:$F$495,MATCH(D3,'Dashboard Items'!$A$2:$A$495,0)),"ID not found"))</f>
        <v/>
      </c>
    </row>
    <row r="4" ht="15" customHeight="1" s="210">
      <c r="A4" s="419" t="inlineStr">
        <is>
          <t>ks1</t>
        </is>
      </c>
      <c r="B4" s="355">
        <f>IF(A4="","",IFERROR(INDEX('Dashboard Items'!$C$2:$C$495,MATCH(A4,'Dashboard Items'!$A$2:$A$495,0)),"ID not found"))</f>
        <v/>
      </c>
      <c r="C4" s="355">
        <f>IF(A4="","",IFERROR(INDEX('Dashboard Items'!$E$2:$E$495,MATCH(A4,'Dashboard Items'!$A$2:$A$495,0)),"ID not found"))</f>
        <v/>
      </c>
      <c r="D4" s="419" t="inlineStr">
        <is>
          <t>ob19</t>
        </is>
      </c>
      <c r="E4" s="355">
        <f>IF(D4="","",IFERROR(INDEX('Dashboard Items'!$C$2:$C$495,MATCH(D4,'Dashboard Items'!$A$2:$A$495,0)),"ID not found"))</f>
        <v/>
      </c>
      <c r="F4" s="355">
        <f>IF(D4="","",IFERROR(INDEX('Dashboard Items'!$F$2:$F$495,MATCH(D4,'Dashboard Items'!$A$2:$A$495,0)),"ID not found"))</f>
        <v/>
      </c>
    </row>
    <row r="5" ht="15" customHeight="1" s="210">
      <c r="A5" s="419" t="inlineStr">
        <is>
          <t>ks1</t>
        </is>
      </c>
      <c r="B5" s="355">
        <f>IF(A5="","",IFERROR(INDEX('Dashboard Items'!$C$2:$C$495,MATCH(A5,'Dashboard Items'!$A$2:$A$495,0)),"ID not found"))</f>
        <v/>
      </c>
      <c r="C5" s="355">
        <f>IF(A5="","",IFERROR(INDEX('Dashboard Items'!$E$2:$E$495,MATCH(A5,'Dashboard Items'!$A$2:$A$495,0)),"ID not found"))</f>
        <v/>
      </c>
      <c r="D5" s="419" t="inlineStr">
        <is>
          <t>ob20</t>
        </is>
      </c>
      <c r="E5" s="355">
        <f>IF(D5="","",IFERROR(INDEX('Dashboard Items'!$C$2:$C$495,MATCH(D5,'Dashboard Items'!$A$2:$A$495,0)),"ID not found"))</f>
        <v/>
      </c>
      <c r="F5" s="355">
        <f>IF(D5="","",IFERROR(INDEX('Dashboard Items'!$F$2:$F$495,MATCH(D5,'Dashboard Items'!$A$2:$A$495,0)),"ID not found"))</f>
        <v/>
      </c>
    </row>
    <row r="6" ht="15" customHeight="1" s="210">
      <c r="A6" s="419" t="inlineStr">
        <is>
          <t>ks2</t>
        </is>
      </c>
      <c r="B6" s="355">
        <f>IF(A6="","",IFERROR(INDEX('Dashboard Items'!$C$2:$C$495,MATCH(A6,'Dashboard Items'!$A$2:$A$495,0)),"ID not found"))</f>
        <v/>
      </c>
      <c r="C6" s="355">
        <f>IF(A6="","",IFERROR(INDEX('Dashboard Items'!$E$2:$E$495,MATCH(A6,'Dashboard Items'!$A$2:$A$495,0)),"ID not found"))</f>
        <v/>
      </c>
      <c r="D6" s="419" t="inlineStr">
        <is>
          <t>ob5</t>
        </is>
      </c>
      <c r="E6" s="355">
        <f>IF(D6="","",IFERROR(INDEX('Dashboard Items'!$C$2:$C$495,MATCH(D6,'Dashboard Items'!$A$2:$A$495,0)),"ID not found"))</f>
        <v/>
      </c>
      <c r="F6" s="355">
        <f>IF(D6="","",IFERROR(INDEX('Dashboard Items'!$F$2:$F$495,MATCH(D6,'Dashboard Items'!$A$2:$A$495,0)),"ID not found"))</f>
        <v/>
      </c>
    </row>
    <row r="7" ht="15" customHeight="1" s="210">
      <c r="A7" s="419" t="inlineStr">
        <is>
          <t>ks2</t>
        </is>
      </c>
      <c r="B7" s="355">
        <f>IF(A7="","",IFERROR(INDEX('Dashboard Items'!$C$2:$C$495,MATCH(A7,'Dashboard Items'!$A$2:$A$495,0)),"ID not found"))</f>
        <v/>
      </c>
      <c r="C7" s="355">
        <f>IF(A7="","",IFERROR(INDEX('Dashboard Items'!$E$2:$E$495,MATCH(A7,'Dashboard Items'!$A$2:$A$495,0)),"ID not found"))</f>
        <v/>
      </c>
      <c r="D7" s="419" t="inlineStr">
        <is>
          <t>ob16</t>
        </is>
      </c>
      <c r="E7" s="355">
        <f>IF(D7="","",IFERROR(INDEX('Dashboard Items'!$C$2:$C$495,MATCH(D7,'Dashboard Items'!$A$2:$A$495,0)),"ID not found"))</f>
        <v/>
      </c>
      <c r="F7" s="355">
        <f>IF(D7="","",IFERROR(INDEX('Dashboard Items'!$F$2:$F$495,MATCH(D7,'Dashboard Items'!$A$2:$A$495,0)),"ID not found"))</f>
        <v/>
      </c>
    </row>
    <row r="8" ht="15" customHeight="1" s="210">
      <c r="A8" s="419" t="inlineStr">
        <is>
          <t>ks2</t>
        </is>
      </c>
      <c r="B8" s="355">
        <f>IF(A8="","",IFERROR(INDEX('Dashboard Items'!$C$2:$C$495,MATCH(A8,'Dashboard Items'!$A$2:$A$495,0)),"ID not found"))</f>
        <v/>
      </c>
      <c r="C8" s="355">
        <f>IF(A8="","",IFERROR(INDEX('Dashboard Items'!$E$2:$E$495,MATCH(A8,'Dashboard Items'!$A$2:$A$495,0)),"ID not found"))</f>
        <v/>
      </c>
      <c r="D8" s="419" t="inlineStr">
        <is>
          <t>ob17</t>
        </is>
      </c>
      <c r="E8" s="355">
        <f>IF(D8="","",IFERROR(INDEX('Dashboard Items'!$C$2:$C$495,MATCH(D8,'Dashboard Items'!$A$2:$A$495,0)),"ID not found"))</f>
        <v/>
      </c>
      <c r="F8" s="355">
        <f>IF(D8="","",IFERROR(INDEX('Dashboard Items'!$F$2:$F$495,MATCH(D8,'Dashboard Items'!$A$2:$A$495,0)),"ID not found"))</f>
        <v/>
      </c>
    </row>
    <row r="9" ht="15" customHeight="1" s="210">
      <c r="A9" s="419" t="inlineStr">
        <is>
          <t>ks3</t>
        </is>
      </c>
      <c r="B9" s="355">
        <f>IF(A9="","",IFERROR(INDEX('Dashboard Items'!$C$2:$C$495,MATCH(A9,'Dashboard Items'!$A$2:$A$495,0)),"ID not found"))</f>
        <v/>
      </c>
      <c r="C9" s="355">
        <f>IF(A9="","",IFERROR(INDEX('Dashboard Items'!$E$2:$E$495,MATCH(A9,'Dashboard Items'!$A$2:$A$495,0)),"ID not found"))</f>
        <v/>
      </c>
      <c r="D9" s="419" t="inlineStr">
        <is>
          <t>ob2</t>
        </is>
      </c>
      <c r="E9" s="355">
        <f>IF(D9="","",IFERROR(INDEX('Dashboard Items'!$C$2:$C$495,MATCH(D9,'Dashboard Items'!$A$2:$A$495,0)),"ID not found"))</f>
        <v/>
      </c>
      <c r="F9" s="355">
        <f>IF(D9="","",IFERROR(INDEX('Dashboard Items'!$F$2:$F$495,MATCH(D9,'Dashboard Items'!$A$2:$A$495,0)),"ID not found"))</f>
        <v/>
      </c>
    </row>
    <row r="10" ht="15" customHeight="1" s="210">
      <c r="A10" s="419" t="inlineStr">
        <is>
          <t>ks3</t>
        </is>
      </c>
      <c r="B10" s="355">
        <f>IF(A10="","",IFERROR(INDEX('Dashboard Items'!$C$2:$C$495,MATCH(A10,'Dashboard Items'!$A$2:$A$495,0)),"ID not found"))</f>
        <v/>
      </c>
      <c r="C10" s="355">
        <f>IF(A10="","",IFERROR(INDEX('Dashboard Items'!$E$2:$E$495,MATCH(A10,'Dashboard Items'!$A$2:$A$495,0)),"ID not found"))</f>
        <v/>
      </c>
      <c r="D10" s="419" t="inlineStr">
        <is>
          <t>ob16</t>
        </is>
      </c>
      <c r="E10" s="355">
        <f>IF(D10="","",IFERROR(INDEX('Dashboard Items'!$C$2:$C$495,MATCH(D10,'Dashboard Items'!$A$2:$A$495,0)),"ID not found"))</f>
        <v/>
      </c>
      <c r="F10" s="355">
        <f>IF(D10="","",IFERROR(INDEX('Dashboard Items'!$F$2:$F$495,MATCH(D10,'Dashboard Items'!$A$2:$A$495,0)),"ID not found"))</f>
        <v/>
      </c>
    </row>
    <row r="11" ht="15" customHeight="1" s="210">
      <c r="A11" s="419" t="inlineStr">
        <is>
          <t>ks3</t>
        </is>
      </c>
      <c r="B11" s="355">
        <f>IF(A11="","",IFERROR(INDEX('Dashboard Items'!$C$2:$C$495,MATCH(A11,'Dashboard Items'!$A$2:$A$495,0)),"ID not found"))</f>
        <v/>
      </c>
      <c r="C11" s="355">
        <f>IF(A11="","",IFERROR(INDEX('Dashboard Items'!$E$2:$E$495,MATCH(A11,'Dashboard Items'!$A$2:$A$495,0)),"ID not found"))</f>
        <v/>
      </c>
      <c r="D11" s="419" t="inlineStr">
        <is>
          <t>ob17</t>
        </is>
      </c>
      <c r="E11" s="355">
        <f>IF(D11="","",IFERROR(INDEX('Dashboard Items'!$C$2:$C$495,MATCH(D11,'Dashboard Items'!$A$2:$A$495,0)),"ID not found"))</f>
        <v/>
      </c>
      <c r="F11" s="355">
        <f>IF(D11="","",IFERROR(INDEX('Dashboard Items'!$F$2:$F$495,MATCH(D11,'Dashboard Items'!$A$2:$A$495,0)),"ID not found"))</f>
        <v/>
      </c>
    </row>
    <row r="12" ht="15" customHeight="1" s="210">
      <c r="A12" s="419" t="inlineStr">
        <is>
          <t>ks4</t>
        </is>
      </c>
      <c r="B12" s="355">
        <f>IF(A12="","",IFERROR(INDEX('Dashboard Items'!$C$2:$C$495,MATCH(A12,'Dashboard Items'!$A$2:$A$495,0)),"ID not found"))</f>
        <v/>
      </c>
      <c r="C12" s="355">
        <f>IF(A12="","",IFERROR(INDEX('Dashboard Items'!$E$2:$E$495,MATCH(A12,'Dashboard Items'!$A$2:$A$495,0)),"ID not found"))</f>
        <v/>
      </c>
      <c r="D12" s="419" t="inlineStr">
        <is>
          <t>ob1</t>
        </is>
      </c>
      <c r="E12" s="355">
        <f>IF(D12="","",IFERROR(INDEX('Dashboard Items'!$C$2:$C$495,MATCH(D12,'Dashboard Items'!$A$2:$A$495,0)),"ID not found"))</f>
        <v/>
      </c>
      <c r="F12" s="355">
        <f>IF(D12="","",IFERROR(INDEX('Dashboard Items'!$F$2:$F$495,MATCH(D12,'Dashboard Items'!$A$2:$A$495,0)),"ID not found"))</f>
        <v/>
      </c>
    </row>
    <row r="13" ht="15" customHeight="1" s="210">
      <c r="A13" s="419" t="inlineStr">
        <is>
          <t>ks4</t>
        </is>
      </c>
      <c r="B13" s="355">
        <f>IF(A13="","",IFERROR(INDEX('Dashboard Items'!$C$2:$C$495,MATCH(A13,'Dashboard Items'!$A$2:$A$495,0)),"ID not found"))</f>
        <v/>
      </c>
      <c r="C13" s="355">
        <f>IF(A13="","",IFERROR(INDEX('Dashboard Items'!$E$2:$E$495,MATCH(A13,'Dashboard Items'!$A$2:$A$495,0)),"ID not found"))</f>
        <v/>
      </c>
      <c r="D13" s="419" t="inlineStr">
        <is>
          <t>ob17</t>
        </is>
      </c>
      <c r="E13" s="355">
        <f>IF(D13="","",IFERROR(INDEX('Dashboard Items'!$C$2:$C$495,MATCH(D13,'Dashboard Items'!$A$2:$A$495,0)),"ID not found"))</f>
        <v/>
      </c>
      <c r="F13" s="355">
        <f>IF(D13="","",IFERROR(INDEX('Dashboard Items'!$F$2:$F$495,MATCH(D13,'Dashboard Items'!$A$2:$A$495,0)),"ID not found"))</f>
        <v/>
      </c>
    </row>
    <row r="14" ht="15" customHeight="1" s="210">
      <c r="A14" s="419" t="inlineStr">
        <is>
          <t>ks4</t>
        </is>
      </c>
      <c r="B14" s="355">
        <f>IF(A14="","",IFERROR(INDEX('Dashboard Items'!$C$2:$C$495,MATCH(A14,'Dashboard Items'!$A$2:$A$495,0)),"ID not found"))</f>
        <v/>
      </c>
      <c r="C14" s="355">
        <f>IF(A14="","",IFERROR(INDEX('Dashboard Items'!$E$2:$E$495,MATCH(A14,'Dashboard Items'!$A$2:$A$495,0)),"ID not found"))</f>
        <v/>
      </c>
      <c r="D14" s="419" t="inlineStr">
        <is>
          <t>ob20</t>
        </is>
      </c>
      <c r="E14" s="355">
        <f>IF(D14="","",IFERROR(INDEX('Dashboard Items'!$C$2:$C$495,MATCH(D14,'Dashboard Items'!$A$2:$A$495,0)),"ID not found"))</f>
        <v/>
      </c>
      <c r="F14" s="355">
        <f>IF(D14="","",IFERROR(INDEX('Dashboard Items'!$F$2:$F$495,MATCH(D14,'Dashboard Items'!$A$2:$A$495,0)),"ID not found"))</f>
        <v/>
      </c>
    </row>
    <row r="15" ht="15" customHeight="1" s="210">
      <c r="A15" s="419" t="inlineStr">
        <is>
          <t>ks5</t>
        </is>
      </c>
      <c r="B15" s="355">
        <f>IF(A15="","",IFERROR(INDEX('Dashboard Items'!$C$2:$C$495,MATCH(A15,'Dashboard Items'!$A$2:$A$495,0)),"ID not found"))</f>
        <v/>
      </c>
      <c r="C15" s="355">
        <f>IF(A15="","",IFERROR(INDEX('Dashboard Items'!$E$2:$E$495,MATCH(A15,'Dashboard Items'!$A$2:$A$495,0)),"ID not found"))</f>
        <v/>
      </c>
      <c r="D15" s="419" t="inlineStr">
        <is>
          <t>ob18</t>
        </is>
      </c>
      <c r="E15" s="355">
        <f>IF(D15="","",IFERROR(INDEX('Dashboard Items'!$C$2:$C$495,MATCH(D15,'Dashboard Items'!$A$2:$A$495,0)),"ID not found"))</f>
        <v/>
      </c>
      <c r="F15" s="355">
        <f>IF(D15="","",IFERROR(INDEX('Dashboard Items'!$F$2:$F$495,MATCH(D15,'Dashboard Items'!$A$2:$A$495,0)),"ID not found"))</f>
        <v/>
      </c>
    </row>
    <row r="16" ht="15" customHeight="1" s="210">
      <c r="A16" s="419" t="inlineStr">
        <is>
          <t>ks5</t>
        </is>
      </c>
      <c r="B16" s="355">
        <f>IF(A16="","",IFERROR(INDEX('Dashboard Items'!$C$2:$C$495,MATCH(A16,'Dashboard Items'!$A$2:$A$495,0)),"ID not found"))</f>
        <v/>
      </c>
      <c r="C16" s="355">
        <f>IF(A16="","",IFERROR(INDEX('Dashboard Items'!$E$2:$E$495,MATCH(A16,'Dashboard Items'!$A$2:$A$495,0)),"ID not found"))</f>
        <v/>
      </c>
      <c r="D16" s="419" t="inlineStr">
        <is>
          <t>ob19</t>
        </is>
      </c>
      <c r="E16" s="355">
        <f>IF(D16="","",IFERROR(INDEX('Dashboard Items'!$C$2:$C$495,MATCH(D16,'Dashboard Items'!$A$2:$A$495,0)),"ID not found"))</f>
        <v/>
      </c>
      <c r="F16" s="355">
        <f>IF(D16="","",IFERROR(INDEX('Dashboard Items'!$F$2:$F$495,MATCH(D16,'Dashboard Items'!$A$2:$A$495,0)),"ID not found"))</f>
        <v/>
      </c>
    </row>
    <row r="17" ht="15" customHeight="1" s="210">
      <c r="A17" s="419" t="inlineStr">
        <is>
          <t>ks5</t>
        </is>
      </c>
      <c r="B17" s="355">
        <f>IF(A17="","",IFERROR(INDEX('Dashboard Items'!$C$2:$C$495,MATCH(A17,'Dashboard Items'!$A$2:$A$495,0)),"ID not found"))</f>
        <v/>
      </c>
      <c r="C17" s="355">
        <f>IF(A17="","",IFERROR(INDEX('Dashboard Items'!$E$2:$E$495,MATCH(A17,'Dashboard Items'!$A$2:$A$495,0)),"ID not found"))</f>
        <v/>
      </c>
      <c r="D17" s="419" t="inlineStr">
        <is>
          <t>ob20</t>
        </is>
      </c>
      <c r="E17" s="355">
        <f>IF(D17="","",IFERROR(INDEX('Dashboard Items'!$C$2:$C$495,MATCH(D17,'Dashboard Items'!$A$2:$A$495,0)),"ID not found"))</f>
        <v/>
      </c>
      <c r="F17" s="355">
        <f>IF(D17="","",IFERROR(INDEX('Dashboard Items'!$F$2:$F$495,MATCH(D17,'Dashboard Items'!$A$2:$A$495,0)),"ID not found"))</f>
        <v/>
      </c>
    </row>
    <row r="18" ht="15" customHeight="1" s="210">
      <c r="A18" s="419" t="inlineStr">
        <is>
          <t>ks6</t>
        </is>
      </c>
      <c r="B18" s="355">
        <f>IF(A18="","",IFERROR(INDEX('Dashboard Items'!$C$2:$C$495,MATCH(A18,'Dashboard Items'!$A$2:$A$495,0)),"ID not found"))</f>
        <v/>
      </c>
      <c r="C18" s="355">
        <f>IF(A18="","",IFERROR(INDEX('Dashboard Items'!$E$2:$E$495,MATCH(A18,'Dashboard Items'!$A$2:$A$495,0)),"ID not found"))</f>
        <v/>
      </c>
      <c r="D18" s="419" t="inlineStr">
        <is>
          <t>ob1</t>
        </is>
      </c>
      <c r="E18" s="355">
        <f>IF(D18="","",IFERROR(INDEX('Dashboard Items'!$C$2:$C$495,MATCH(D18,'Dashboard Items'!$A$2:$A$495,0)),"ID not found"))</f>
        <v/>
      </c>
      <c r="F18" s="355">
        <f>IF(D18="","",IFERROR(INDEX('Dashboard Items'!$F$2:$F$495,MATCH(D18,'Dashboard Items'!$A$2:$A$495,0)),"ID not found"))</f>
        <v/>
      </c>
    </row>
    <row r="19" ht="15" customHeight="1" s="210">
      <c r="A19" s="419" t="inlineStr">
        <is>
          <t>ks6</t>
        </is>
      </c>
      <c r="B19" s="355">
        <f>IF(A19="","",IFERROR(INDEX('Dashboard Items'!$C$2:$C$495,MATCH(A19,'Dashboard Items'!$A$2:$A$495,0)),"ID not found"))</f>
        <v/>
      </c>
      <c r="C19" s="355">
        <f>IF(A19="","",IFERROR(INDEX('Dashboard Items'!$E$2:$E$495,MATCH(A19,'Dashboard Items'!$A$2:$A$495,0)),"ID not found"))</f>
        <v/>
      </c>
      <c r="D19" s="419" t="inlineStr">
        <is>
          <t>ob7</t>
        </is>
      </c>
      <c r="E19" s="355">
        <f>IF(D19="","",IFERROR(INDEX('Dashboard Items'!$C$2:$C$495,MATCH(D19,'Dashboard Items'!$A$2:$A$495,0)),"ID not found"))</f>
        <v/>
      </c>
      <c r="F19" s="355">
        <f>IF(D19="","",IFERROR(INDEX('Dashboard Items'!$F$2:$F$495,MATCH(D19,'Dashboard Items'!$A$2:$A$495,0)),"ID not found"))</f>
        <v/>
      </c>
    </row>
    <row r="20" ht="15" customHeight="1" s="210">
      <c r="A20" s="419" t="inlineStr">
        <is>
          <t>ks6</t>
        </is>
      </c>
      <c r="B20" s="355">
        <f>IF(A20="","",IFERROR(INDEX('Dashboard Items'!$C$2:$C$495,MATCH(A20,'Dashboard Items'!$A$2:$A$495,0)),"ID not found"))</f>
        <v/>
      </c>
      <c r="C20" s="355">
        <f>IF(A20="","",IFERROR(INDEX('Dashboard Items'!$E$2:$E$495,MATCH(A20,'Dashboard Items'!$A$2:$A$495,0)),"ID not found"))</f>
        <v/>
      </c>
      <c r="D20" s="419" t="inlineStr">
        <is>
          <t>ob20</t>
        </is>
      </c>
      <c r="E20" s="355">
        <f>IF(D20="","",IFERROR(INDEX('Dashboard Items'!$C$2:$C$495,MATCH(D20,'Dashboard Items'!$A$2:$A$495,0)),"ID not found"))</f>
        <v/>
      </c>
      <c r="F20" s="355">
        <f>IF(D20="","",IFERROR(INDEX('Dashboard Items'!$F$2:$F$495,MATCH(D20,'Dashboard Items'!$A$2:$A$495,0)),"ID not found"))</f>
        <v/>
      </c>
    </row>
    <row r="21" ht="15" customHeight="1" s="210">
      <c r="A21" s="419" t="inlineStr">
        <is>
          <t>ks7</t>
        </is>
      </c>
      <c r="B21" s="355">
        <f>IF(A21="","",IFERROR(INDEX('Dashboard Items'!$C$2:$C$495,MATCH(A21,'Dashboard Items'!$A$2:$A$495,0)),"ID not found"))</f>
        <v/>
      </c>
      <c r="C21" s="355">
        <f>IF(A21="","",IFERROR(INDEX('Dashboard Items'!$E$2:$E$495,MATCH(A21,'Dashboard Items'!$A$2:$A$495,0)),"ID not found"))</f>
        <v/>
      </c>
      <c r="D21" s="419" t="inlineStr">
        <is>
          <t>ob1</t>
        </is>
      </c>
      <c r="E21" s="355">
        <f>IF(D21="","",IFERROR(INDEX('Dashboard Items'!$C$2:$C$495,MATCH(D21,'Dashboard Items'!$A$2:$A$495,0)),"ID not found"))</f>
        <v/>
      </c>
      <c r="F21" s="355">
        <f>IF(D21="","",IFERROR(INDEX('Dashboard Items'!$F$2:$F$495,MATCH(D21,'Dashboard Items'!$A$2:$A$495,0)),"ID not found"))</f>
        <v/>
      </c>
    </row>
    <row r="22" ht="15" customHeight="1" s="210">
      <c r="A22" s="419" t="inlineStr">
        <is>
          <t>ks7</t>
        </is>
      </c>
      <c r="B22" s="355">
        <f>IF(A22="","",IFERROR(INDEX('Dashboard Items'!$C$2:$C$495,MATCH(A22,'Dashboard Items'!$A$2:$A$495,0)),"ID not found"))</f>
        <v/>
      </c>
      <c r="C22" s="355">
        <f>IF(A22="","",IFERROR(INDEX('Dashboard Items'!$E$2:$E$495,MATCH(A22,'Dashboard Items'!$A$2:$A$495,0)),"ID not found"))</f>
        <v/>
      </c>
      <c r="D22" s="419" t="inlineStr">
        <is>
          <t>ob14</t>
        </is>
      </c>
      <c r="E22" s="355">
        <f>IF(D22="","",IFERROR(INDEX('Dashboard Items'!$C$2:$C$495,MATCH(D22,'Dashboard Items'!$A$2:$A$495,0)),"ID not found"))</f>
        <v/>
      </c>
      <c r="F22" s="355">
        <f>IF(D22="","",IFERROR(INDEX('Dashboard Items'!$F$2:$F$495,MATCH(D22,'Dashboard Items'!$A$2:$A$495,0)),"ID not found"))</f>
        <v/>
      </c>
    </row>
    <row r="23" ht="15" customHeight="1" s="210">
      <c r="A23" s="419" t="inlineStr">
        <is>
          <t>ks7</t>
        </is>
      </c>
      <c r="B23" s="355">
        <f>IF(A23="","",IFERROR(INDEX('Dashboard Items'!$C$2:$C$495,MATCH(A23,'Dashboard Items'!$A$2:$A$495,0)),"ID not found"))</f>
        <v/>
      </c>
      <c r="C23" s="355">
        <f>IF(A23="","",IFERROR(INDEX('Dashboard Items'!$E$2:$E$495,MATCH(A23,'Dashboard Items'!$A$2:$A$495,0)),"ID not found"))</f>
        <v/>
      </c>
      <c r="D23" s="419" t="inlineStr">
        <is>
          <t>ob20</t>
        </is>
      </c>
      <c r="E23" s="355">
        <f>IF(D23="","",IFERROR(INDEX('Dashboard Items'!$C$2:$C$495,MATCH(D23,'Dashboard Items'!$A$2:$A$495,0)),"ID not found"))</f>
        <v/>
      </c>
      <c r="F23" s="355">
        <f>IF(D23="","",IFERROR(INDEX('Dashboard Items'!$F$2:$F$495,MATCH(D23,'Dashboard Items'!$A$2:$A$495,0)),"ID not found"))</f>
        <v/>
      </c>
    </row>
    <row r="24" ht="15" customHeight="1" s="210">
      <c r="A24" s="419" t="inlineStr">
        <is>
          <t>ks8</t>
        </is>
      </c>
      <c r="B24" s="355">
        <f>IF(A24="","",IFERROR(INDEX('Dashboard Items'!$C$2:$C$495,MATCH(A24,'Dashboard Items'!$A$2:$A$495,0)),"ID not found"))</f>
        <v/>
      </c>
      <c r="C24" s="355">
        <f>IF(A24="","",IFERROR(INDEX('Dashboard Items'!$E$2:$E$495,MATCH(A24,'Dashboard Items'!$A$2:$A$495,0)),"ID not found"))</f>
        <v/>
      </c>
      <c r="D24" s="419" t="inlineStr">
        <is>
          <t>ob4</t>
        </is>
      </c>
      <c r="E24" s="355">
        <f>IF(D24="","",IFERROR(INDEX('Dashboard Items'!$C$2:$C$495,MATCH(D24,'Dashboard Items'!$A$2:$A$495,0)),"ID not found"))</f>
        <v/>
      </c>
      <c r="F24" s="355">
        <f>IF(D24="","",IFERROR(INDEX('Dashboard Items'!$F$2:$F$495,MATCH(D24,'Dashboard Items'!$A$2:$A$495,0)),"ID not found"))</f>
        <v/>
      </c>
    </row>
    <row r="25" ht="15" customHeight="1" s="210">
      <c r="A25" s="419" t="inlineStr">
        <is>
          <t>ks8</t>
        </is>
      </c>
      <c r="B25" s="355">
        <f>IF(A25="","",IFERROR(INDEX('Dashboard Items'!$C$2:$C$495,MATCH(A25,'Dashboard Items'!$A$2:$A$495,0)),"ID not found"))</f>
        <v/>
      </c>
      <c r="C25" s="355">
        <f>IF(A25="","",IFERROR(INDEX('Dashboard Items'!$E$2:$E$495,MATCH(A25,'Dashboard Items'!$A$2:$A$495,0)),"ID not found"))</f>
        <v/>
      </c>
      <c r="D25" s="419" t="inlineStr">
        <is>
          <t>ob5</t>
        </is>
      </c>
      <c r="E25" s="355">
        <f>IF(D25="","",IFERROR(INDEX('Dashboard Items'!$C$2:$C$495,MATCH(D25,'Dashboard Items'!$A$2:$A$495,0)),"ID not found"))</f>
        <v/>
      </c>
      <c r="F25" s="355">
        <f>IF(D25="","",IFERROR(INDEX('Dashboard Items'!$F$2:$F$495,MATCH(D25,'Dashboard Items'!$A$2:$A$495,0)),"ID not found"))</f>
        <v/>
      </c>
    </row>
    <row r="26" ht="15" customHeight="1" s="210">
      <c r="A26" s="419" t="inlineStr">
        <is>
          <t>ks8</t>
        </is>
      </c>
      <c r="B26" s="355">
        <f>IF(A26="","",IFERROR(INDEX('Dashboard Items'!$C$2:$C$495,MATCH(A26,'Dashboard Items'!$A$2:$A$495,0)),"ID not found"))</f>
        <v/>
      </c>
      <c r="C26" s="355">
        <f>IF(A26="","",IFERROR(INDEX('Dashboard Items'!$E$2:$E$495,MATCH(A26,'Dashboard Items'!$A$2:$A$495,0)),"ID not found"))</f>
        <v/>
      </c>
      <c r="D26" s="419" t="inlineStr">
        <is>
          <t>ob6</t>
        </is>
      </c>
      <c r="E26" s="355">
        <f>IF(D26="","",IFERROR(INDEX('Dashboard Items'!$C$2:$C$495,MATCH(D26,'Dashboard Items'!$A$2:$A$495,0)),"ID not found"))</f>
        <v/>
      </c>
      <c r="F26" s="355">
        <f>IF(D26="","",IFERROR(INDEX('Dashboard Items'!$F$2:$F$495,MATCH(D26,'Dashboard Items'!$A$2:$A$495,0)),"ID not found"))</f>
        <v/>
      </c>
    </row>
    <row r="27" ht="15" customHeight="1" s="210">
      <c r="A27" s="419" t="n"/>
      <c r="B27" s="355">
        <f>IF(A27="","",IFERROR(INDEX('Dashboard Items'!$C$2:$C$495,MATCH(A27,'Dashboard Items'!$A$2:$A$495,0)),"ID not found"))</f>
        <v/>
      </c>
      <c r="C27" s="355">
        <f>IF(A27="","",IFERROR(INDEX('Dashboard Items'!$E$2:$E$495,MATCH(A27,'Dashboard Items'!$A$2:$A$495,0)),"ID not found"))</f>
        <v/>
      </c>
      <c r="D27" s="419" t="n"/>
      <c r="E27" s="355">
        <f>IF(D27="","",IFERROR(INDEX('Dashboard Items'!$C$2:$C$495,MATCH(D27,'Dashboard Items'!$A$2:$A$495,0)),"ID not found"))</f>
        <v/>
      </c>
      <c r="F27" s="355">
        <f>IF(D27="","",IFERROR(INDEX('Dashboard Items'!$F$2:$F$495,MATCH(D27,'Dashboard Items'!$A$2:$A$495,0)),"ID not found"))</f>
        <v/>
      </c>
    </row>
    <row r="28" ht="15" customHeight="1" s="210">
      <c r="A28" s="419" t="inlineStr">
        <is>
          <t>ks9</t>
        </is>
      </c>
      <c r="B28" s="355">
        <f>IF(A28="","",IFERROR(INDEX('Dashboard Items'!$C$2:$C$495,MATCH(A28,'Dashboard Items'!$A$2:$A$495,0)),"ID not found"))</f>
        <v/>
      </c>
      <c r="C28" s="355">
        <f>IF(A28="","",IFERROR(INDEX('Dashboard Items'!$E$2:$E$495,MATCH(A28,'Dashboard Items'!$A$2:$A$495,0)),"ID not found"))</f>
        <v/>
      </c>
      <c r="D28" s="419" t="inlineStr">
        <is>
          <t>ob1</t>
        </is>
      </c>
      <c r="E28" s="355">
        <f>IF(D28="","",IFERROR(INDEX('Dashboard Items'!$C$2:$C$495,MATCH(D28,'Dashboard Items'!$A$2:$A$495,0)),"ID not found"))</f>
        <v/>
      </c>
      <c r="F28" s="355">
        <f>IF(D28="","",IFERROR(INDEX('Dashboard Items'!$F$2:$F$495,MATCH(D28,'Dashboard Items'!$A$2:$A$495,0)),"ID not found"))</f>
        <v/>
      </c>
    </row>
    <row r="29" ht="15" customHeight="1" s="210">
      <c r="A29" s="419" t="inlineStr">
        <is>
          <t>ks9</t>
        </is>
      </c>
      <c r="B29" s="355">
        <f>IF(A29="","",IFERROR(INDEX('Dashboard Items'!$C$2:$C$495,MATCH(A29,'Dashboard Items'!$A$2:$A$495,0)),"ID not found"))</f>
        <v/>
      </c>
      <c r="C29" s="355">
        <f>IF(A29="","",IFERROR(INDEX('Dashboard Items'!$E$2:$E$495,MATCH(A29,'Dashboard Items'!$A$2:$A$495,0)),"ID not found"))</f>
        <v/>
      </c>
      <c r="D29" s="419" t="inlineStr">
        <is>
          <t>ob5</t>
        </is>
      </c>
      <c r="E29" s="355">
        <f>IF(D29="","",IFERROR(INDEX('Dashboard Items'!$C$2:$C$495,MATCH(D29,'Dashboard Items'!$A$2:$A$495,0)),"ID not found"))</f>
        <v/>
      </c>
      <c r="F29" s="355">
        <f>IF(D29="","",IFERROR(INDEX('Dashboard Items'!$F$2:$F$495,MATCH(D29,'Dashboard Items'!$A$2:$A$495,0)),"ID not found"))</f>
        <v/>
      </c>
    </row>
    <row r="30" ht="15" customHeight="1" s="210">
      <c r="A30" s="419" t="inlineStr">
        <is>
          <t>ks9</t>
        </is>
      </c>
      <c r="B30" s="355">
        <f>IF(A30="","",IFERROR(INDEX('Dashboard Items'!$C$2:$C$495,MATCH(A30,'Dashboard Items'!$A$2:$A$495,0)),"ID not found"))</f>
        <v/>
      </c>
      <c r="C30" s="355">
        <f>IF(A30="","",IFERROR(INDEX('Dashboard Items'!$E$2:$E$495,MATCH(A30,'Dashboard Items'!$A$2:$A$495,0)),"ID not found"))</f>
        <v/>
      </c>
      <c r="D30" s="419" t="inlineStr">
        <is>
          <t>ob6</t>
        </is>
      </c>
      <c r="E30" s="355">
        <f>IF(D30="","",IFERROR(INDEX('Dashboard Items'!$C$2:$C$495,MATCH(D30,'Dashboard Items'!$A$2:$A$495,0)),"ID not found"))</f>
        <v/>
      </c>
      <c r="F30" s="355">
        <f>IF(D30="","",IFERROR(INDEX('Dashboard Items'!$F$2:$F$495,MATCH(D30,'Dashboard Items'!$A$2:$A$495,0)),"ID not found"))</f>
        <v/>
      </c>
    </row>
    <row r="31" ht="15" customHeight="1" s="210">
      <c r="A31" s="419" t="inlineStr">
        <is>
          <t>ks10</t>
        </is>
      </c>
      <c r="B31" s="355">
        <f>IF(A31="","",IFERROR(INDEX('Dashboard Items'!$C$2:$C$495,MATCH(A31,'Dashboard Items'!$A$2:$A$495,0)),"ID not found"))</f>
        <v/>
      </c>
      <c r="C31" s="355">
        <f>IF(A31="","",IFERROR(INDEX('Dashboard Items'!$E$2:$E$495,MATCH(A31,'Dashboard Items'!$A$2:$A$495,0)),"ID not found"))</f>
        <v/>
      </c>
      <c r="D31" s="419" t="inlineStr">
        <is>
          <t>ob3</t>
        </is>
      </c>
      <c r="E31" s="355">
        <f>IF(D31="","",IFERROR(INDEX('Dashboard Items'!$C$2:$C$495,MATCH(D31,'Dashboard Items'!$A$2:$A$495,0)),"ID not found"))</f>
        <v/>
      </c>
      <c r="F31" s="355">
        <f>IF(D31="","",IFERROR(INDEX('Dashboard Items'!$F$2:$F$495,MATCH(D31,'Dashboard Items'!$A$2:$A$495,0)),"ID not found"))</f>
        <v/>
      </c>
    </row>
    <row r="32" ht="15" customHeight="1" s="210">
      <c r="A32" s="419" t="inlineStr">
        <is>
          <t>ks11</t>
        </is>
      </c>
      <c r="B32" s="355">
        <f>IF(A32="","",IFERROR(INDEX('Dashboard Items'!$C$2:$C$495,MATCH(A32,'Dashboard Items'!$A$2:$A$495,0)),"ID not found"))</f>
        <v/>
      </c>
      <c r="C32" s="355">
        <f>IF(A32="","",IFERROR(INDEX('Dashboard Items'!$E$2:$E$495,MATCH(A32,'Dashboard Items'!$A$2:$A$495,0)),"ID not found"))</f>
        <v/>
      </c>
      <c r="D32" s="419" t="inlineStr">
        <is>
          <t>ob7</t>
        </is>
      </c>
      <c r="E32" s="355">
        <f>IF(D32="","",IFERROR(INDEX('Dashboard Items'!$C$2:$C$495,MATCH(D32,'Dashboard Items'!$A$2:$A$495,0)),"ID not found"))</f>
        <v/>
      </c>
      <c r="F32" s="355">
        <f>IF(D32="","",IFERROR(INDEX('Dashboard Items'!$F$2:$F$495,MATCH(D32,'Dashboard Items'!$A$2:$A$495,0)),"ID not found"))</f>
        <v/>
      </c>
    </row>
    <row r="33" ht="15" customHeight="1" s="210">
      <c r="A33" s="419" t="inlineStr">
        <is>
          <t>ks12</t>
        </is>
      </c>
      <c r="B33" s="355">
        <f>IF(A33="","",IFERROR(INDEX('Dashboard Items'!$C$2:$C$495,MATCH(A33,'Dashboard Items'!$A$2:$A$495,0)),"ID not found"))</f>
        <v/>
      </c>
      <c r="C33" s="355">
        <f>IF(A33="","",IFERROR(INDEX('Dashboard Items'!$E$2:$E$495,MATCH(A33,'Dashboard Items'!$A$2:$A$495,0)),"ID not found"))</f>
        <v/>
      </c>
      <c r="D33" s="419" t="inlineStr">
        <is>
          <t>ob7</t>
        </is>
      </c>
      <c r="E33" s="355">
        <f>IF(D33="","",IFERROR(INDEX('Dashboard Items'!$C$2:$C$495,MATCH(D33,'Dashboard Items'!$A$2:$A$495,0)),"ID not found"))</f>
        <v/>
      </c>
      <c r="F33" s="355">
        <f>IF(D33="","",IFERROR(INDEX('Dashboard Items'!$F$2:$F$495,MATCH(D33,'Dashboard Items'!$A$2:$A$495,0)),"ID not found"))</f>
        <v/>
      </c>
    </row>
    <row r="34" ht="15" customHeight="1" s="210">
      <c r="A34" s="419" t="inlineStr">
        <is>
          <t>ks13</t>
        </is>
      </c>
      <c r="B34" s="355">
        <f>IF(A34="","",IFERROR(INDEX('Dashboard Items'!$C$2:$C$495,MATCH(A34,'Dashboard Items'!$A$2:$A$495,0)),"ID not found"))</f>
        <v/>
      </c>
      <c r="C34" s="355">
        <f>IF(A34="","",IFERROR(INDEX('Dashboard Items'!$E$2:$E$495,MATCH(A34,'Dashboard Items'!$A$2:$A$495,0)),"ID not found"))</f>
        <v/>
      </c>
      <c r="D34" s="419" t="inlineStr">
        <is>
          <t>ob3</t>
        </is>
      </c>
      <c r="E34" s="355">
        <f>IF(D34="","",IFERROR(INDEX('Dashboard Items'!$C$2:$C$495,MATCH(D34,'Dashboard Items'!$A$2:$A$495,0)),"ID not found"))</f>
        <v/>
      </c>
      <c r="F34" s="355">
        <f>IF(D34="","",IFERROR(INDEX('Dashboard Items'!$F$2:$F$495,MATCH(D34,'Dashboard Items'!$A$2:$A$495,0)),"ID not found"))</f>
        <v/>
      </c>
    </row>
    <row r="35" ht="15" customHeight="1" s="210">
      <c r="A35" s="419" t="inlineStr">
        <is>
          <t>ks13</t>
        </is>
      </c>
      <c r="B35" s="355">
        <f>IF(A35="","",IFERROR(INDEX('Dashboard Items'!$C$2:$C$495,MATCH(A35,'Dashboard Items'!$A$2:$A$495,0)),"ID not found"))</f>
        <v/>
      </c>
      <c r="C35" s="355">
        <f>IF(A35="","",IFERROR(INDEX('Dashboard Items'!$E$2:$E$495,MATCH(A35,'Dashboard Items'!$A$2:$A$495,0)),"ID not found"))</f>
        <v/>
      </c>
      <c r="D35" s="419" t="inlineStr">
        <is>
          <t>ob11</t>
        </is>
      </c>
      <c r="E35" s="355">
        <f>IF(D35="","",IFERROR(INDEX('Dashboard Items'!$C$2:$C$495,MATCH(D35,'Dashboard Items'!$A$2:$A$495,0)),"ID not found"))</f>
        <v/>
      </c>
      <c r="F35" s="355">
        <f>IF(D35="","",IFERROR(INDEX('Dashboard Items'!$F$2:$F$495,MATCH(D35,'Dashboard Items'!$A$2:$A$495,0)),"ID not found"))</f>
        <v/>
      </c>
    </row>
    <row r="36" ht="15" customHeight="1" s="210">
      <c r="A36" s="419" t="inlineStr">
        <is>
          <t>ks13</t>
        </is>
      </c>
      <c r="B36" s="355">
        <f>IF(A36="","",IFERROR(INDEX('Dashboard Items'!$C$2:$C$495,MATCH(A36,'Dashboard Items'!$A$2:$A$495,0)),"ID not found"))</f>
        <v/>
      </c>
      <c r="C36" s="355">
        <f>IF(A36="","",IFERROR(INDEX('Dashboard Items'!$E$2:$E$495,MATCH(A36,'Dashboard Items'!$A$2:$A$495,0)),"ID not found"))</f>
        <v/>
      </c>
      <c r="D36" s="419" t="inlineStr">
        <is>
          <t>ob12</t>
        </is>
      </c>
      <c r="E36" s="355">
        <f>IF(D36="","",IFERROR(INDEX('Dashboard Items'!$C$2:$C$495,MATCH(D36,'Dashboard Items'!$A$2:$A$495,0)),"ID not found"))</f>
        <v/>
      </c>
      <c r="F36" s="355">
        <f>IF(D36="","",IFERROR(INDEX('Dashboard Items'!$F$2:$F$495,MATCH(D36,'Dashboard Items'!$A$2:$A$495,0)),"ID not found"))</f>
        <v/>
      </c>
    </row>
    <row r="37" ht="15" customHeight="1" s="210">
      <c r="A37" s="419" t="inlineStr">
        <is>
          <t>ks13</t>
        </is>
      </c>
      <c r="B37" s="355">
        <f>IF(A37="","",IFERROR(INDEX('Dashboard Items'!$C$2:$C$495,MATCH(A37,'Dashboard Items'!$A$2:$A$495,0)),"ID not found"))</f>
        <v/>
      </c>
      <c r="C37" s="355">
        <f>IF(A37="","",IFERROR(INDEX('Dashboard Items'!$E$2:$E$495,MATCH(A37,'Dashboard Items'!$A$2:$A$495,0)),"ID not found"))</f>
        <v/>
      </c>
      <c r="D37" s="419" t="inlineStr">
        <is>
          <t>ob15</t>
        </is>
      </c>
      <c r="E37" s="355">
        <f>IF(D37="","",IFERROR(INDEX('Dashboard Items'!$C$2:$C$495,MATCH(D37,'Dashboard Items'!$A$2:$A$495,0)),"ID not found"))</f>
        <v/>
      </c>
      <c r="F37" s="355">
        <f>IF(D37="","",IFERROR(INDEX('Dashboard Items'!$F$2:$F$495,MATCH(D37,'Dashboard Items'!$A$2:$A$495,0)),"ID not found"))</f>
        <v/>
      </c>
    </row>
    <row r="38" ht="15" customHeight="1" s="210">
      <c r="A38" s="419" t="inlineStr">
        <is>
          <t>ks14</t>
        </is>
      </c>
      <c r="B38" s="355">
        <f>IF(A38="","",IFERROR(INDEX('Dashboard Items'!$C$2:$C$495,MATCH(A38,'Dashboard Items'!$A$2:$A$495,0)),"ID not found"))</f>
        <v/>
      </c>
      <c r="C38" s="355">
        <f>IF(A38="","",IFERROR(INDEX('Dashboard Items'!$E$2:$E$495,MATCH(A38,'Dashboard Items'!$A$2:$A$495,0)),"ID not found"))</f>
        <v/>
      </c>
      <c r="D38" s="419" t="inlineStr">
        <is>
          <t>ob10</t>
        </is>
      </c>
      <c r="E38" s="355">
        <f>IF(D38="","",IFERROR(INDEX('Dashboard Items'!$C$2:$C$495,MATCH(D38,'Dashboard Items'!$A$2:$A$495,0)),"ID not found"))</f>
        <v/>
      </c>
      <c r="F38" s="355">
        <f>IF(D38="","",IFERROR(INDEX('Dashboard Items'!$F$2:$F$495,MATCH(D38,'Dashboard Items'!$A$2:$A$495,0)),"ID not found"))</f>
        <v/>
      </c>
    </row>
    <row r="39" ht="15" customHeight="1" s="210">
      <c r="A39" s="419" t="inlineStr">
        <is>
          <t>ks14</t>
        </is>
      </c>
      <c r="B39" s="355">
        <f>IF(A39="","",IFERROR(INDEX('Dashboard Items'!$C$2:$C$495,MATCH(A39,'Dashboard Items'!$A$2:$A$495,0)),"ID not found"))</f>
        <v/>
      </c>
      <c r="C39" s="355">
        <f>IF(A39="","",IFERROR(INDEX('Dashboard Items'!$E$2:$E$495,MATCH(A39,'Dashboard Items'!$A$2:$A$495,0)),"ID not found"))</f>
        <v/>
      </c>
      <c r="D39" s="419" t="inlineStr">
        <is>
          <t>ob15</t>
        </is>
      </c>
      <c r="E39" s="355">
        <f>IF(D39="","",IFERROR(INDEX('Dashboard Items'!$C$2:$C$495,MATCH(D39,'Dashboard Items'!$A$2:$A$495,0)),"ID not found"))</f>
        <v/>
      </c>
      <c r="F39" s="355">
        <f>IF(D39="","",IFERROR(INDEX('Dashboard Items'!$F$2:$F$495,MATCH(D39,'Dashboard Items'!$A$2:$A$495,0)),"ID not found"))</f>
        <v/>
      </c>
    </row>
    <row r="40" ht="15" customHeight="1" s="210">
      <c r="A40" s="419" t="inlineStr">
        <is>
          <t>ks15</t>
        </is>
      </c>
      <c r="B40" s="355">
        <f>IF(A40="","",IFERROR(INDEX('Dashboard Items'!$C$2:$C$495,MATCH(A40,'Dashboard Items'!$A$2:$A$495,0)),"ID not found"))</f>
        <v/>
      </c>
      <c r="C40" s="355">
        <f>IF(A40="","",IFERROR(INDEX('Dashboard Items'!$E$2:$E$495,MATCH(A40,'Dashboard Items'!$A$2:$A$495,0)),"ID not found"))</f>
        <v/>
      </c>
      <c r="D40" s="419" t="inlineStr">
        <is>
          <t>ob12</t>
        </is>
      </c>
      <c r="E40" s="355">
        <f>IF(D40="","",IFERROR(INDEX('Dashboard Items'!$C$2:$C$495,MATCH(D40,'Dashboard Items'!$A$2:$A$495,0)),"ID not found"))</f>
        <v/>
      </c>
      <c r="F40" s="355">
        <f>IF(D40="","",IFERROR(INDEX('Dashboard Items'!$F$2:$F$495,MATCH(D40,'Dashboard Items'!$A$2:$A$495,0)),"ID not found"))</f>
        <v/>
      </c>
    </row>
    <row r="41" ht="15" customHeight="1" s="210">
      <c r="A41" s="419" t="inlineStr">
        <is>
          <t>ks15</t>
        </is>
      </c>
      <c r="B41" s="355">
        <f>IF(A41="","",IFERROR(INDEX('Dashboard Items'!$C$2:$C$495,MATCH(A41,'Dashboard Items'!$A$2:$A$495,0)),"ID not found"))</f>
        <v/>
      </c>
      <c r="C41" s="355">
        <f>IF(A41="","",IFERROR(INDEX('Dashboard Items'!$E$2:$E$495,MATCH(A41,'Dashboard Items'!$A$2:$A$495,0)),"ID not found"))</f>
        <v/>
      </c>
      <c r="D41" s="419" t="inlineStr">
        <is>
          <t>ob14</t>
        </is>
      </c>
      <c r="E41" s="355">
        <f>IF(D41="","",IFERROR(INDEX('Dashboard Items'!$C$2:$C$495,MATCH(D41,'Dashboard Items'!$A$2:$A$495,0)),"ID not found"))</f>
        <v/>
      </c>
      <c r="F41" s="355">
        <f>IF(D41="","",IFERROR(INDEX('Dashboard Items'!$F$2:$F$495,MATCH(D41,'Dashboard Items'!$A$2:$A$495,0)),"ID not found"))</f>
        <v/>
      </c>
    </row>
    <row r="42" ht="15" customHeight="1" s="210">
      <c r="A42" s="419" t="inlineStr">
        <is>
          <t>ks16</t>
        </is>
      </c>
      <c r="B42" s="355">
        <f>IF(A42="","",IFERROR(INDEX('Dashboard Items'!$C$2:$C$495,MATCH(A42,'Dashboard Items'!$A$2:$A$495,0)),"ID not found"))</f>
        <v/>
      </c>
      <c r="C42" s="355">
        <f>IF(A42="","",IFERROR(INDEX('Dashboard Items'!$E$2:$E$495,MATCH(A42,'Dashboard Items'!$A$2:$A$495,0)),"ID not found"))</f>
        <v/>
      </c>
      <c r="D42" s="419" t="inlineStr">
        <is>
          <t>ob13</t>
        </is>
      </c>
      <c r="E42" s="355">
        <f>IF(D42="","",IFERROR(INDEX('Dashboard Items'!$C$2:$C$495,MATCH(D42,'Dashboard Items'!$A$2:$A$495,0)),"ID not found"))</f>
        <v/>
      </c>
      <c r="F42" s="355">
        <f>IF(D42="","",IFERROR(INDEX('Dashboard Items'!$F$2:$F$495,MATCH(D42,'Dashboard Items'!$A$2:$A$495,0)),"ID not found"))</f>
        <v/>
      </c>
    </row>
    <row r="43" ht="15" customHeight="1" s="210">
      <c r="A43" s="419" t="inlineStr">
        <is>
          <t>ks17</t>
        </is>
      </c>
      <c r="B43" s="355">
        <f>IF(A43="","",IFERROR(INDEX('Dashboard Items'!$C$2:$C$495,MATCH(A43,'Dashboard Items'!$A$2:$A$495,0)),"ID not found"))</f>
        <v/>
      </c>
      <c r="C43" s="355">
        <f>IF(A43="","",IFERROR(INDEX('Dashboard Items'!$E$2:$E$495,MATCH(A43,'Dashboard Items'!$A$2:$A$495,0)),"ID not found"))</f>
        <v/>
      </c>
      <c r="D43" s="419" t="inlineStr">
        <is>
          <t>ob8</t>
        </is>
      </c>
      <c r="E43" s="355">
        <f>IF(D43="","",IFERROR(INDEX('Dashboard Items'!$C$2:$C$495,MATCH(D43,'Dashboard Items'!$A$2:$A$495,0)),"ID not found"))</f>
        <v/>
      </c>
      <c r="F43" s="355">
        <f>IF(D43="","",IFERROR(INDEX('Dashboard Items'!$F$2:$F$495,MATCH(D43,'Dashboard Items'!$A$2:$A$495,0)),"ID not found"))</f>
        <v/>
      </c>
    </row>
    <row r="44" ht="15" customHeight="1" s="210">
      <c r="A44" s="419" t="inlineStr">
        <is>
          <t>ks17</t>
        </is>
      </c>
      <c r="B44" s="355">
        <f>IF(A44="","",IFERROR(INDEX('Dashboard Items'!$C$2:$C$495,MATCH(A44,'Dashboard Items'!$A$2:$A$495,0)),"ID not found"))</f>
        <v/>
      </c>
      <c r="C44" s="355">
        <f>IF(A44="","",IFERROR(INDEX('Dashboard Items'!$E$2:$E$495,MATCH(A44,'Dashboard Items'!$A$2:$A$495,0)),"ID not found"))</f>
        <v/>
      </c>
      <c r="D44" s="419" t="inlineStr">
        <is>
          <t>ob17</t>
        </is>
      </c>
      <c r="E44" s="355">
        <f>IF(D44="","",IFERROR(INDEX('Dashboard Items'!$C$2:$C$495,MATCH(D44,'Dashboard Items'!$A$2:$A$495,0)),"ID not found"))</f>
        <v/>
      </c>
      <c r="F44" s="355">
        <f>IF(D44="","",IFERROR(INDEX('Dashboard Items'!$F$2:$F$495,MATCH(D44,'Dashboard Items'!$A$2:$A$495,0)),"ID not found"))</f>
        <v/>
      </c>
    </row>
    <row r="45" ht="15" customHeight="1" s="210">
      <c r="A45" s="419" t="inlineStr">
        <is>
          <t>ks18</t>
        </is>
      </c>
      <c r="B45" s="355">
        <f>IF(A45="","",IFERROR(INDEX('Dashboard Items'!$C$2:$C$495,MATCH(A45,'Dashboard Items'!$A$2:$A$495,0)),"ID not found"))</f>
        <v/>
      </c>
      <c r="C45" s="355">
        <f>IF(A45="","",IFERROR(INDEX('Dashboard Items'!$E$2:$E$495,MATCH(A45,'Dashboard Items'!$A$2:$A$495,0)),"ID not found"))</f>
        <v/>
      </c>
      <c r="D45" s="419" t="inlineStr">
        <is>
          <t>ob9</t>
        </is>
      </c>
      <c r="E45" s="355">
        <f>IF(D45="","",IFERROR(INDEX('Dashboard Items'!$C$2:$C$495,MATCH(D45,'Dashboard Items'!$A$2:$A$495,0)),"ID not found"))</f>
        <v/>
      </c>
      <c r="F45" s="355">
        <f>IF(D45="","",IFERROR(INDEX('Dashboard Items'!$F$2:$F$495,MATCH(D45,'Dashboard Items'!$A$2:$A$495,0)),"ID not found"))</f>
        <v/>
      </c>
    </row>
    <row r="46" ht="15" customHeight="1" s="210">
      <c r="A46" s="419" t="inlineStr">
        <is>
          <t>ks20</t>
        </is>
      </c>
      <c r="B46" s="355">
        <f>IF(A46="","",IFERROR(INDEX('Dashboard Items'!$C$2:$C$495,MATCH(A46,'Dashboard Items'!$A$2:$A$495,0)),"ID not found"))</f>
        <v/>
      </c>
      <c r="C46" s="355">
        <f>IF(A46="","",IFERROR(INDEX('Dashboard Items'!$E$2:$E$495,MATCH(A46,'Dashboard Items'!$A$2:$A$495,0)),"ID not found"))</f>
        <v/>
      </c>
      <c r="D46" s="419" t="inlineStr">
        <is>
          <t>ob8</t>
        </is>
      </c>
      <c r="E46" s="355">
        <f>IF(D46="","",IFERROR(INDEX('Dashboard Items'!$C$2:$C$495,MATCH(D46,'Dashboard Items'!$A$2:$A$495,0)),"ID not found"))</f>
        <v/>
      </c>
      <c r="F46" s="355">
        <f>IF(D46="","",IFERROR(INDEX('Dashboard Items'!$F$2:$F$495,MATCH(D46,'Dashboard Items'!$A$2:$A$495,0)),"ID not found"))</f>
        <v/>
      </c>
    </row>
    <row r="47" ht="15" customHeight="1" s="210">
      <c r="A47" s="419" t="n"/>
      <c r="B47" s="355">
        <f>IF(A47="","",IFERROR(INDEX('Dashboard Items'!$C$2:$C$495,MATCH(A47,'Dashboard Items'!$A$2:$A$495,0)),"ID not found"))</f>
        <v/>
      </c>
      <c r="C47" s="355">
        <f>IF(A47="","",IFERROR(INDEX('Dashboard Items'!$E$2:$E$495,MATCH(A47,'Dashboard Items'!$A$2:$A$495,0)),"ID not found"))</f>
        <v/>
      </c>
      <c r="D47" s="419" t="n"/>
      <c r="E47" s="355">
        <f>IF(D47="","",IFERROR(INDEX('Dashboard Items'!$C$2:$C$495,MATCH(D47,'Dashboard Items'!$A$2:$A$495,0)),"ID not found"))</f>
        <v/>
      </c>
      <c r="F47" s="355">
        <f>IF(D47="","",IFERROR(INDEX('Dashboard Items'!$F$2:$F$495,MATCH(D47,'Dashboard Items'!$A$2:$A$495,0)),"ID not found"))</f>
        <v/>
      </c>
    </row>
    <row r="48" ht="15" customHeight="1" s="210">
      <c r="A48" s="419" t="n"/>
      <c r="B48" s="355">
        <f>IF(A48="","",IFERROR(INDEX('Dashboard Items'!$C$2:$C$495,MATCH(A48,'Dashboard Items'!$A$2:$A$495,0)),"ID not found"))</f>
        <v/>
      </c>
      <c r="C48" s="355">
        <f>IF(A48="","",IFERROR(INDEX('Dashboard Items'!$E$2:$E$495,MATCH(A48,'Dashboard Items'!$A$2:$A$495,0)),"ID not found"))</f>
        <v/>
      </c>
      <c r="D48" s="419" t="n"/>
      <c r="E48" s="355">
        <f>IF(D48="","",IFERROR(INDEX('Dashboard Items'!$C$2:$C$495,MATCH(D48,'Dashboard Items'!$A$2:$A$495,0)),"ID not found"))</f>
        <v/>
      </c>
      <c r="F48" s="355">
        <f>IF(D48="","",IFERROR(INDEX('Dashboard Items'!$F$2:$F$495,MATCH(D48,'Dashboard Items'!$A$2:$A$495,0)),"ID not found"))</f>
        <v/>
      </c>
    </row>
    <row r="49" ht="15" customHeight="1" s="210">
      <c r="A49" s="419" t="n"/>
      <c r="B49" s="355">
        <f>IF(A49="","",IFERROR(INDEX('Dashboard Items'!$C$2:$C$495,MATCH(A49,'Dashboard Items'!$A$2:$A$495,0)),"ID not found"))</f>
        <v/>
      </c>
      <c r="C49" s="355">
        <f>IF(A49="","",IFERROR(INDEX('Dashboard Items'!$E$2:$E$495,MATCH(A49,'Dashboard Items'!$A$2:$A$495,0)),"ID not found"))</f>
        <v/>
      </c>
      <c r="D49" s="419" t="n"/>
      <c r="E49" s="355">
        <f>IF(D49="","",IFERROR(INDEX('Dashboard Items'!$C$2:$C$495,MATCH(D49,'Dashboard Items'!$A$2:$A$495,0)),"ID not found"))</f>
        <v/>
      </c>
      <c r="F49" s="355">
        <f>IF(D49="","",IFERROR(INDEX('Dashboard Items'!$F$2:$F$495,MATCH(D49,'Dashboard Items'!$A$2:$A$495,0)),"ID not found"))</f>
        <v/>
      </c>
    </row>
    <row r="50" ht="15" customHeight="1" s="210">
      <c r="A50" s="419" t="n"/>
      <c r="B50" s="355">
        <f>IF(A50="","",IFERROR(INDEX('Dashboard Items'!$C$2:$C$495,MATCH(A50,'Dashboard Items'!$A$2:$A$495,0)),"ID not found"))</f>
        <v/>
      </c>
      <c r="C50" s="355">
        <f>IF(A50="","",IFERROR(INDEX('Dashboard Items'!$E$2:$E$495,MATCH(A50,'Dashboard Items'!$A$2:$A$495,0)),"ID not found"))</f>
        <v/>
      </c>
      <c r="D50" s="419" t="n"/>
      <c r="E50" s="355">
        <f>IF(D50="","",IFERROR(INDEX('Dashboard Items'!$C$2:$C$495,MATCH(D50,'Dashboard Items'!$A$2:$A$495,0)),"ID not found"))</f>
        <v/>
      </c>
      <c r="F50" s="355">
        <f>IF(D50="","",IFERROR(INDEX('Dashboard Items'!$F$2:$F$495,MATCH(D50,'Dashboard Items'!$A$2:$A$495,0)),"ID not found"))</f>
        <v/>
      </c>
    </row>
    <row r="51" ht="15" customHeight="1" s="210">
      <c r="A51" s="419" t="n"/>
      <c r="B51" s="355">
        <f>IF(A51="","",IFERROR(INDEX('Dashboard Items'!$C$2:$C$495,MATCH(A51,'Dashboard Items'!$A$2:$A$495,0)),"ID not found"))</f>
        <v/>
      </c>
      <c r="C51" s="355">
        <f>IF(A51="","",IFERROR(INDEX('Dashboard Items'!$E$2:$E$495,MATCH(A51,'Dashboard Items'!$A$2:$A$495,0)),"ID not found"))</f>
        <v/>
      </c>
      <c r="D51" s="419" t="n"/>
      <c r="E51" s="355">
        <f>IF(D51="","",IFERROR(INDEX('Dashboard Items'!$C$2:$C$495,MATCH(D51,'Dashboard Items'!$A$2:$A$495,0)),"ID not found"))</f>
        <v/>
      </c>
      <c r="F51" s="355">
        <f>IF(D51="","",IFERROR(INDEX('Dashboard Items'!$F$2:$F$495,MATCH(D51,'Dashboard Items'!$A$2:$A$495,0)),"ID not found"))</f>
        <v/>
      </c>
    </row>
    <row r="52" ht="15" customHeight="1" s="210">
      <c r="A52" s="419" t="n"/>
      <c r="B52" s="355">
        <f>IF(A52="","",IFERROR(INDEX('Dashboard Items'!$C$2:$C$495,MATCH(A52,'Dashboard Items'!$A$2:$A$495,0)),"ID not found"))</f>
        <v/>
      </c>
      <c r="C52" s="355">
        <f>IF(A52="","",IFERROR(INDEX('Dashboard Items'!$E$2:$E$495,MATCH(A52,'Dashboard Items'!$A$2:$A$495,0)),"ID not found"))</f>
        <v/>
      </c>
      <c r="D52" s="419" t="n"/>
      <c r="E52" s="355">
        <f>IF(D52="","",IFERROR(INDEX('Dashboard Items'!$C$2:$C$495,MATCH(D52,'Dashboard Items'!$A$2:$A$495,0)),"ID not found"))</f>
        <v/>
      </c>
      <c r="F52" s="355">
        <f>IF(D52="","",IFERROR(INDEX('Dashboard Items'!$F$2:$F$495,MATCH(D52,'Dashboard Items'!$A$2:$A$495,0)),"ID not found"))</f>
        <v/>
      </c>
    </row>
    <row r="53" ht="15" customHeight="1" s="210">
      <c r="A53" s="419" t="n"/>
      <c r="B53" s="355">
        <f>IF(A53="","",IFERROR(INDEX('Dashboard Items'!$C$2:$C$495,MATCH(A53,'Dashboard Items'!$A$2:$A$495,0)),"ID not found"))</f>
        <v/>
      </c>
      <c r="C53" s="355">
        <f>IF(A53="","",IFERROR(INDEX('Dashboard Items'!$E$2:$E$495,MATCH(A53,'Dashboard Items'!$A$2:$A$495,0)),"ID not found"))</f>
        <v/>
      </c>
      <c r="D53" s="419" t="n"/>
      <c r="E53" s="355">
        <f>IF(D53="","",IFERROR(INDEX('Dashboard Items'!$C$2:$C$495,MATCH(D53,'Dashboard Items'!$A$2:$A$495,0)),"ID not found"))</f>
        <v/>
      </c>
      <c r="F53" s="355">
        <f>IF(D53="","",IFERROR(INDEX('Dashboard Items'!$F$2:$F$495,MATCH(D53,'Dashboard Items'!$A$2:$A$495,0)),"ID not found"))</f>
        <v/>
      </c>
    </row>
    <row r="54" ht="15" customHeight="1" s="210">
      <c r="A54" s="419" t="n"/>
      <c r="B54" s="355">
        <f>IF(A54="","",IFERROR(INDEX('Dashboard Items'!$C$2:$C$495,MATCH(A54,'Dashboard Items'!$A$2:$A$495,0)),"ID not found"))</f>
        <v/>
      </c>
      <c r="C54" s="355">
        <f>IF(A54="","",IFERROR(INDEX('Dashboard Items'!$E$2:$E$495,MATCH(A54,'Dashboard Items'!$A$2:$A$495,0)),"ID not found"))</f>
        <v/>
      </c>
      <c r="D54" s="419" t="n"/>
      <c r="E54" s="355">
        <f>IF(D54="","",IFERROR(INDEX('Dashboard Items'!$C$2:$C$495,MATCH(D54,'Dashboard Items'!$A$2:$A$495,0)),"ID not found"))</f>
        <v/>
      </c>
      <c r="F54" s="355">
        <f>IF(D54="","",IFERROR(INDEX('Dashboard Items'!$F$2:$F$495,MATCH(D54,'Dashboard Items'!$A$2:$A$495,0)),"ID not found"))</f>
        <v/>
      </c>
    </row>
    <row r="55" ht="15" customHeight="1" s="210">
      <c r="A55" s="419" t="n"/>
      <c r="B55" s="355">
        <f>IF(A55="","",IFERROR(INDEX('Dashboard Items'!$C$2:$C$495,MATCH(A55,'Dashboard Items'!$A$2:$A$495,0)),"ID not found"))</f>
        <v/>
      </c>
      <c r="C55" s="355">
        <f>IF(A55="","",IFERROR(INDEX('Dashboard Items'!$E$2:$E$495,MATCH(A55,'Dashboard Items'!$A$2:$A$495,0)),"ID not found"))</f>
        <v/>
      </c>
      <c r="D55" s="419" t="n"/>
      <c r="E55" s="355">
        <f>IF(D55="","",IFERROR(INDEX('Dashboard Items'!$C$2:$C$495,MATCH(D55,'Dashboard Items'!$A$2:$A$495,0)),"ID not found"))</f>
        <v/>
      </c>
      <c r="F55" s="355">
        <f>IF(D55="","",IFERROR(INDEX('Dashboard Items'!$F$2:$F$495,MATCH(D55,'Dashboard Items'!$A$2:$A$495,0)),"ID not found"))</f>
        <v/>
      </c>
    </row>
    <row r="56" ht="15" customHeight="1" s="210">
      <c r="A56" s="419" t="n"/>
      <c r="B56" s="355">
        <f>IF(A56="","",IFERROR(INDEX('Dashboard Items'!$C$2:$C$495,MATCH(A56,'Dashboard Items'!$A$2:$A$495,0)),"ID not found"))</f>
        <v/>
      </c>
      <c r="C56" s="355">
        <f>IF(A56="","",IFERROR(INDEX('Dashboard Items'!$E$2:$E$495,MATCH(A56,'Dashboard Items'!$A$2:$A$495,0)),"ID not found"))</f>
        <v/>
      </c>
      <c r="D56" s="419" t="n"/>
      <c r="E56" s="355">
        <f>IF(D56="","",IFERROR(INDEX('Dashboard Items'!$C$2:$C$495,MATCH(D56,'Dashboard Items'!$A$2:$A$495,0)),"ID not found"))</f>
        <v/>
      </c>
      <c r="F56" s="355">
        <f>IF(D56="","",IFERROR(INDEX('Dashboard Items'!$F$2:$F$495,MATCH(D56,'Dashboard Items'!$A$2:$A$495,0)),"ID not found"))</f>
        <v/>
      </c>
    </row>
    <row r="57" ht="15" customHeight="1" s="210">
      <c r="A57" s="419" t="n"/>
      <c r="B57" s="355">
        <f>IF(A57="","",IFERROR(INDEX('Dashboard Items'!$C$2:$C$495,MATCH(A57,'Dashboard Items'!$A$2:$A$495,0)),"ID not found"))</f>
        <v/>
      </c>
      <c r="C57" s="355">
        <f>IF(A57="","",IFERROR(INDEX('Dashboard Items'!$E$2:$E$495,MATCH(A57,'Dashboard Items'!$A$2:$A$495,0)),"ID not found"))</f>
        <v/>
      </c>
      <c r="D57" s="419" t="n"/>
      <c r="E57" s="355">
        <f>IF(D57="","",IFERROR(INDEX('Dashboard Items'!$C$2:$C$495,MATCH(D57,'Dashboard Items'!$A$2:$A$495,0)),"ID not found"))</f>
        <v/>
      </c>
      <c r="F57" s="355">
        <f>IF(D57="","",IFERROR(INDEX('Dashboard Items'!$F$2:$F$495,MATCH(D57,'Dashboard Items'!$A$2:$A$495,0)),"ID not found"))</f>
        <v/>
      </c>
    </row>
    <row r="58" ht="15" customHeight="1" s="210">
      <c r="A58" s="419" t="n"/>
      <c r="B58" s="355">
        <f>IF(A58="","",IFERROR(INDEX('Dashboard Items'!$C$2:$C$495,MATCH(A58,'Dashboard Items'!$A$2:$A$495,0)),"ID not found"))</f>
        <v/>
      </c>
      <c r="C58" s="355">
        <f>IF(A58="","",IFERROR(INDEX('Dashboard Items'!$E$2:$E$495,MATCH(A58,'Dashboard Items'!$A$2:$A$495,0)),"ID not found"))</f>
        <v/>
      </c>
      <c r="D58" s="419" t="n"/>
      <c r="E58" s="355">
        <f>IF(D58="","",IFERROR(INDEX('Dashboard Items'!$C$2:$C$495,MATCH(D58,'Dashboard Items'!$A$2:$A$495,0)),"ID not found"))</f>
        <v/>
      </c>
      <c r="F58" s="355">
        <f>IF(D58="","",IFERROR(INDEX('Dashboard Items'!$F$2:$F$495,MATCH(D58,'Dashboard Items'!$A$2:$A$495,0)),"ID not found"))</f>
        <v/>
      </c>
    </row>
    <row r="59" ht="15" customHeight="1" s="210">
      <c r="B59" s="355">
        <f>IF(A59="","",IFERROR(INDEX('Dashboard Items'!$C$2:$C$495,MATCH(A59,'Dashboard Items'!$A$2:$A$495,0)),"ID not found"))</f>
        <v/>
      </c>
      <c r="C59" s="355">
        <f>IF(A59="","",IFERROR(INDEX('Dashboard Items'!$E$2:$E$495,MATCH(A59,'Dashboard Items'!$A$2:$A$495,0)),"ID not found"))</f>
        <v/>
      </c>
      <c r="E59" s="355">
        <f>IF(D59="","",IFERROR(INDEX('Dashboard Items'!$C$2:$C$495,MATCH(D59,'Dashboard Items'!$A$2:$A$495,0)),"ID not found"))</f>
        <v/>
      </c>
      <c r="F59" s="355">
        <f>IF(D59="","",IFERROR(INDEX('Dashboard Items'!$F$2:$F$495,MATCH(D59,'Dashboard Items'!$A$2:$A$495,0)),"ID not found"))</f>
        <v/>
      </c>
    </row>
    <row r="60" ht="15" customHeight="1" s="210">
      <c r="B60" s="355">
        <f>IF(A60="","",IFERROR(INDEX('Dashboard Items'!$C$2:$C$495,MATCH(A60,'Dashboard Items'!$A$2:$A$495,0)),"ID not found"))</f>
        <v/>
      </c>
      <c r="C60" s="355">
        <f>IF(A60="","",IFERROR(INDEX('Dashboard Items'!$E$2:$E$495,MATCH(A60,'Dashboard Items'!$A$2:$A$495,0)),"ID not found"))</f>
        <v/>
      </c>
      <c r="E60" s="355">
        <f>IF(D60="","",IFERROR(INDEX('Dashboard Items'!$C$2:$C$495,MATCH(D60,'Dashboard Items'!$A$2:$A$495,0)),"ID not found"))</f>
        <v/>
      </c>
      <c r="F60" s="355">
        <f>IF(D60="","",IFERROR(INDEX('Dashboard Items'!$F$2:$F$495,MATCH(D60,'Dashboard Items'!$A$2:$A$495,0)),"ID not found"))</f>
        <v/>
      </c>
    </row>
    <row r="61" ht="15" customHeight="1" s="210">
      <c r="B61" s="355">
        <f>IF(A61="","",IFERROR(INDEX('Dashboard Items'!$C$2:$C$495,MATCH(A61,'Dashboard Items'!$A$2:$A$495,0)),"ID not found"))</f>
        <v/>
      </c>
      <c r="C61" s="355">
        <f>IF(A61="","",IFERROR(INDEX('Dashboard Items'!$E$2:$E$495,MATCH(A61,'Dashboard Items'!$A$2:$A$495,0)),"ID not found"))</f>
        <v/>
      </c>
      <c r="E61" s="355">
        <f>IF(D61="","",IFERROR(INDEX('Dashboard Items'!$C$2:$C$495,MATCH(D61,'Dashboard Items'!$A$2:$A$495,0)),"ID not found"))</f>
        <v/>
      </c>
      <c r="F61" s="355">
        <f>IF(D61="","",IFERROR(INDEX('Dashboard Items'!$F$2:$F$495,MATCH(D61,'Dashboard Items'!$A$2:$A$495,0)),"ID not found"))</f>
        <v/>
      </c>
    </row>
    <row r="62" ht="15" customHeight="1" s="210">
      <c r="B62" s="355">
        <f>IF(A62="","",IFERROR(INDEX('Dashboard Items'!$C$2:$C$495,MATCH(A62,'Dashboard Items'!$A$2:$A$495,0)),"ID not found"))</f>
        <v/>
      </c>
      <c r="C62" s="355">
        <f>IF(A62="","",IFERROR(INDEX('Dashboard Items'!$E$2:$E$495,MATCH(A62,'Dashboard Items'!$A$2:$A$495,0)),"ID not found"))</f>
        <v/>
      </c>
      <c r="E62" s="355">
        <f>IF(D62="","",IFERROR(INDEX('Dashboard Items'!$C$2:$C$495,MATCH(D62,'Dashboard Items'!$A$2:$A$495,0)),"ID not found"))</f>
        <v/>
      </c>
      <c r="F62" s="355">
        <f>IF(D62="","",IFERROR(INDEX('Dashboard Items'!$F$2:$F$495,MATCH(D62,'Dashboard Items'!$A$2:$A$495,0)),"ID not found"))</f>
        <v/>
      </c>
    </row>
    <row r="63" ht="15" customHeight="1" s="210">
      <c r="B63" s="355">
        <f>IF(A63="","",IFERROR(INDEX('Dashboard Items'!$C$2:$C$495,MATCH(A63,'Dashboard Items'!$A$2:$A$495,0)),"ID not found"))</f>
        <v/>
      </c>
      <c r="C63" s="355">
        <f>IF(A63="","",IFERROR(INDEX('Dashboard Items'!$E$2:$E$495,MATCH(A63,'Dashboard Items'!$A$2:$A$495,0)),"ID not found"))</f>
        <v/>
      </c>
      <c r="E63" s="355">
        <f>IF(D63="","",IFERROR(INDEX('Dashboard Items'!$C$2:$C$495,MATCH(D63,'Dashboard Items'!$A$2:$A$495,0)),"ID not found"))</f>
        <v/>
      </c>
      <c r="F63" s="355">
        <f>IF(D63="","",IFERROR(INDEX('Dashboard Items'!$F$2:$F$495,MATCH(D63,'Dashboard Items'!$A$2:$A$495,0)),"ID not found"))</f>
        <v/>
      </c>
    </row>
    <row r="64" ht="15" customHeight="1" s="210">
      <c r="B64" s="355">
        <f>IF(A64="","",IFERROR(INDEX('Dashboard Items'!$C$2:$C$495,MATCH(A64,'Dashboard Items'!$A$2:$A$495,0)),"ID not found"))</f>
        <v/>
      </c>
      <c r="C64" s="355">
        <f>IF(A64="","",IFERROR(INDEX('Dashboard Items'!$E$2:$E$495,MATCH(A64,'Dashboard Items'!$A$2:$A$495,0)),"ID not found"))</f>
        <v/>
      </c>
      <c r="E64" s="355">
        <f>IF(D64="","",IFERROR(INDEX('Dashboard Items'!$C$2:$C$495,MATCH(D64,'Dashboard Items'!$A$2:$A$495,0)),"ID not found"))</f>
        <v/>
      </c>
      <c r="F64" s="355">
        <f>IF(D64="","",IFERROR(INDEX('Dashboard Items'!$F$2:$F$495,MATCH(D64,'Dashboard Items'!$A$2:$A$495,0)),"ID not found"))</f>
        <v/>
      </c>
    </row>
    <row r="65" ht="15" customHeight="1" s="210">
      <c r="B65" s="355">
        <f>IF(A65="","",IFERROR(INDEX('Dashboard Items'!$C$2:$C$495,MATCH(A65,'Dashboard Items'!$A$2:$A$495,0)),"ID not found"))</f>
        <v/>
      </c>
      <c r="C65" s="355">
        <f>IF(A65="","",IFERROR(INDEX('Dashboard Items'!$E$2:$E$495,MATCH(A65,'Dashboard Items'!$A$2:$A$495,0)),"ID not found"))</f>
        <v/>
      </c>
      <c r="E65" s="355">
        <f>IF(D65="","",IFERROR(INDEX('Dashboard Items'!$C$2:$C$495,MATCH(D65,'Dashboard Items'!$A$2:$A$495,0)),"ID not found"))</f>
        <v/>
      </c>
      <c r="F65" s="355">
        <f>IF(D65="","",IFERROR(INDEX('Dashboard Items'!$F$2:$F$495,MATCH(D65,'Dashboard Items'!$A$2:$A$495,0)),"ID not found"))</f>
        <v/>
      </c>
    </row>
    <row r="66" ht="15" customHeight="1" s="210">
      <c r="B66" s="355">
        <f>IF(A66="","",IFERROR(INDEX('Dashboard Items'!$C$2:$C$495,MATCH(A66,'Dashboard Items'!$A$2:$A$495,0)),"ID not found"))</f>
        <v/>
      </c>
      <c r="C66" s="355">
        <f>IF(A66="","",IFERROR(INDEX('Dashboard Items'!$E$2:$E$495,MATCH(A66,'Dashboard Items'!$A$2:$A$495,0)),"ID not found"))</f>
        <v/>
      </c>
      <c r="E66" s="355">
        <f>IF(D66="","",IFERROR(INDEX('Dashboard Items'!$C$2:$C$495,MATCH(D66,'Dashboard Items'!$A$2:$A$495,0)),"ID not found"))</f>
        <v/>
      </c>
      <c r="F66" s="355">
        <f>IF(D66="","",IFERROR(INDEX('Dashboard Items'!$F$2:$F$495,MATCH(D66,'Dashboard Items'!$A$2:$A$495,0)),"ID not found"))</f>
        <v/>
      </c>
    </row>
    <row r="67" ht="15" customHeight="1" s="210">
      <c r="B67" s="355">
        <f>IF(A67="","",IFERROR(INDEX('Dashboard Items'!$C$2:$C$495,MATCH(A67,'Dashboard Items'!$A$2:$A$495,0)),"ID not found"))</f>
        <v/>
      </c>
      <c r="C67" s="355">
        <f>IF(A67="","",IFERROR(INDEX('Dashboard Items'!$E$2:$E$495,MATCH(A67,'Dashboard Items'!$A$2:$A$495,0)),"ID not found"))</f>
        <v/>
      </c>
      <c r="E67" s="355">
        <f>IF(D67="","",IFERROR(INDEX('Dashboard Items'!$C$2:$C$495,MATCH(D67,'Dashboard Items'!$A$2:$A$495,0)),"ID not found"))</f>
        <v/>
      </c>
      <c r="F67" s="355">
        <f>IF(D67="","",IFERROR(INDEX('Dashboard Items'!$F$2:$F$495,MATCH(D67,'Dashboard Items'!$A$2:$A$495,0)),"ID not found"))</f>
        <v/>
      </c>
    </row>
    <row r="68" ht="15" customHeight="1" s="210">
      <c r="B68" s="355">
        <f>IF(A68="","",IFERROR(INDEX('Dashboard Items'!$C$2:$C$495,MATCH(A68,'Dashboard Items'!$A$2:$A$495,0)),"ID not found"))</f>
        <v/>
      </c>
      <c r="C68" s="355">
        <f>IF(A68="","",IFERROR(INDEX('Dashboard Items'!$E$2:$E$495,MATCH(A68,'Dashboard Items'!$A$2:$A$495,0)),"ID not found"))</f>
        <v/>
      </c>
      <c r="E68" s="355">
        <f>IF(D68="","",IFERROR(INDEX('Dashboard Items'!$C$2:$C$495,MATCH(D68,'Dashboard Items'!$A$2:$A$495,0)),"ID not found"))</f>
        <v/>
      </c>
      <c r="F68" s="355">
        <f>IF(D68="","",IFERROR(INDEX('Dashboard Items'!$F$2:$F$495,MATCH(D68,'Dashboard Items'!$A$2:$A$495,0)),"ID not found"))</f>
        <v/>
      </c>
    </row>
    <row r="69" ht="15" customHeight="1" s="210">
      <c r="B69" s="355">
        <f>IF(A69="","",IFERROR(INDEX('Dashboard Items'!$C$2:$C$495,MATCH(A69,'Dashboard Items'!$A$2:$A$495,0)),"ID not found"))</f>
        <v/>
      </c>
      <c r="C69" s="355">
        <f>IF(A69="","",IFERROR(INDEX('Dashboard Items'!$E$2:$E$495,MATCH(A69,'Dashboard Items'!$A$2:$A$495,0)),"ID not found"))</f>
        <v/>
      </c>
      <c r="E69" s="355">
        <f>IF(D69="","",IFERROR(INDEX('Dashboard Items'!$C$2:$C$495,MATCH(D69,'Dashboard Items'!$A$2:$A$495,0)),"ID not found"))</f>
        <v/>
      </c>
      <c r="F69" s="355">
        <f>IF(D69="","",IFERROR(INDEX('Dashboard Items'!$F$2:$F$495,MATCH(D69,'Dashboard Items'!$A$2:$A$495,0)),"ID not found"))</f>
        <v/>
      </c>
    </row>
    <row r="70" ht="15" customHeight="1" s="210">
      <c r="B70" s="355">
        <f>IF(A70="","",IFERROR(INDEX('Dashboard Items'!$C$2:$C$495,MATCH(A70,'Dashboard Items'!$A$2:$A$495,0)),"ID not found"))</f>
        <v/>
      </c>
      <c r="C70" s="355">
        <f>IF(A70="","",IFERROR(INDEX('Dashboard Items'!$E$2:$E$495,MATCH(A70,'Dashboard Items'!$A$2:$A$495,0)),"ID not found"))</f>
        <v/>
      </c>
      <c r="E70" s="355">
        <f>IF(D70="","",IFERROR(INDEX('Dashboard Items'!$C$2:$C$495,MATCH(D70,'Dashboard Items'!$A$2:$A$495,0)),"ID not found"))</f>
        <v/>
      </c>
      <c r="F70" s="355">
        <f>IF(D70="","",IFERROR(INDEX('Dashboard Items'!$F$2:$F$495,MATCH(D70,'Dashboard Items'!$A$2:$A$495,0)),"ID not found"))</f>
        <v/>
      </c>
    </row>
    <row r="71" ht="15" customHeight="1" s="210">
      <c r="B71" s="355">
        <f>IF(A71="","",IFERROR(INDEX('Dashboard Items'!$C$2:$C$495,MATCH(A71,'Dashboard Items'!$A$2:$A$495,0)),"ID not found"))</f>
        <v/>
      </c>
      <c r="C71" s="355">
        <f>IF(A71="","",IFERROR(INDEX('Dashboard Items'!$E$2:$E$495,MATCH(A71,'Dashboard Items'!$A$2:$A$495,0)),"ID not found"))</f>
        <v/>
      </c>
      <c r="E71" s="355">
        <f>IF(D71="","",IFERROR(INDEX('Dashboard Items'!$C$2:$C$495,MATCH(D71,'Dashboard Items'!$A$2:$A$495,0)),"ID not found"))</f>
        <v/>
      </c>
      <c r="F71" s="355">
        <f>IF(D71="","",IFERROR(INDEX('Dashboard Items'!$F$2:$F$495,MATCH(D71,'Dashboard Items'!$A$2:$A$495,0)),"ID not found"))</f>
        <v/>
      </c>
    </row>
    <row r="72" ht="15" customHeight="1" s="210">
      <c r="B72" s="355">
        <f>IF(A72="","",IFERROR(INDEX('Dashboard Items'!$C$2:$C$495,MATCH(A72,'Dashboard Items'!$A$2:$A$495,0)),"ID not found"))</f>
        <v/>
      </c>
      <c r="C72" s="355">
        <f>IF(A72="","",IFERROR(INDEX('Dashboard Items'!$E$2:$E$495,MATCH(A72,'Dashboard Items'!$A$2:$A$495,0)),"ID not found"))</f>
        <v/>
      </c>
      <c r="E72" s="355">
        <f>IF(D72="","",IFERROR(INDEX('Dashboard Items'!$C$2:$C$495,MATCH(D72,'Dashboard Items'!$A$2:$A$495,0)),"ID not found"))</f>
        <v/>
      </c>
      <c r="F72" s="355">
        <f>IF(D72="","",IFERROR(INDEX('Dashboard Items'!$F$2:$F$495,MATCH(D72,'Dashboard Items'!$A$2:$A$495,0)),"ID not found"))</f>
        <v/>
      </c>
    </row>
    <row r="73" ht="15" customHeight="1" s="210">
      <c r="B73" s="355">
        <f>IF(A73="","",IFERROR(INDEX('Dashboard Items'!$C$2:$C$495,MATCH(A73,'Dashboard Items'!$A$2:$A$495,0)),"ID not found"))</f>
        <v/>
      </c>
      <c r="C73" s="355">
        <f>IF(A73="","",IFERROR(INDEX('Dashboard Items'!$E$2:$E$495,MATCH(A73,'Dashboard Items'!$A$2:$A$495,0)),"ID not found"))</f>
        <v/>
      </c>
      <c r="E73" s="355">
        <f>IF(D73="","",IFERROR(INDEX('Dashboard Items'!$C$2:$C$495,MATCH(D73,'Dashboard Items'!$A$2:$A$495,0)),"ID not found"))</f>
        <v/>
      </c>
      <c r="F73" s="355">
        <f>IF(D73="","",IFERROR(INDEX('Dashboard Items'!$F$2:$F$495,MATCH(D73,'Dashboard Items'!$A$2:$A$495,0)),"ID not found"))</f>
        <v/>
      </c>
    </row>
    <row r="74" ht="15" customHeight="1" s="210">
      <c r="B74" s="355">
        <f>IF(A74="","",IFERROR(INDEX('Dashboard Items'!$C$2:$C$495,MATCH(A74,'Dashboard Items'!$A$2:$A$495,0)),"ID not found"))</f>
        <v/>
      </c>
      <c r="C74" s="355">
        <f>IF(A74="","",IFERROR(INDEX('Dashboard Items'!$E$2:$E$495,MATCH(A74,'Dashboard Items'!$A$2:$A$495,0)),"ID not found"))</f>
        <v/>
      </c>
      <c r="E74" s="355">
        <f>IF(D74="","",IFERROR(INDEX('Dashboard Items'!$C$2:$C$495,MATCH(D74,'Dashboard Items'!$A$2:$A$495,0)),"ID not found"))</f>
        <v/>
      </c>
      <c r="F74" s="355">
        <f>IF(D74="","",IFERROR(INDEX('Dashboard Items'!$F$2:$F$495,MATCH(D74,'Dashboard Items'!$A$2:$A$495,0)),"ID not found"))</f>
        <v/>
      </c>
    </row>
    <row r="75" ht="15" customHeight="1" s="210">
      <c r="B75" s="355">
        <f>IF(A75="","",IFERROR(INDEX('Dashboard Items'!$C$2:$C$495,MATCH(A75,'Dashboard Items'!$A$2:$A$495,0)),"ID not found"))</f>
        <v/>
      </c>
      <c r="C75" s="355">
        <f>IF(A75="","",IFERROR(INDEX('Dashboard Items'!$E$2:$E$495,MATCH(A75,'Dashboard Items'!$A$2:$A$495,0)),"ID not found"))</f>
        <v/>
      </c>
      <c r="E75" s="355">
        <f>IF(D75="","",IFERROR(INDEX('Dashboard Items'!$C$2:$C$495,MATCH(D75,'Dashboard Items'!$A$2:$A$495,0)),"ID not found"))</f>
        <v/>
      </c>
      <c r="F75" s="355">
        <f>IF(D75="","",IFERROR(INDEX('Dashboard Items'!$F$2:$F$495,MATCH(D75,'Dashboard Items'!$A$2:$A$495,0)),"ID not found"))</f>
        <v/>
      </c>
    </row>
    <row r="76" ht="15" customHeight="1" s="210">
      <c r="B76" s="355">
        <f>IF(A76="","",IFERROR(INDEX('Dashboard Items'!$C$2:$C$495,MATCH(A76,'Dashboard Items'!$A$2:$A$495,0)),"ID not found"))</f>
        <v/>
      </c>
      <c r="C76" s="355">
        <f>IF(A76="","",IFERROR(INDEX('Dashboard Items'!$E$2:$E$495,MATCH(A76,'Dashboard Items'!$A$2:$A$495,0)),"ID not found"))</f>
        <v/>
      </c>
      <c r="E76" s="355">
        <f>IF(D76="","",IFERROR(INDEX('Dashboard Items'!$C$2:$C$495,MATCH(D76,'Dashboard Items'!$A$2:$A$495,0)),"ID not found"))</f>
        <v/>
      </c>
      <c r="F76" s="355">
        <f>IF(D76="","",IFERROR(INDEX('Dashboard Items'!$F$2:$F$495,MATCH(D76,'Dashboard Items'!$A$2:$A$495,0)),"ID not found"))</f>
        <v/>
      </c>
    </row>
    <row r="77" ht="15" customHeight="1" s="210">
      <c r="B77" s="355">
        <f>IF(A77="","",IFERROR(INDEX('Dashboard Items'!$C$2:$C$495,MATCH(A77,'Dashboard Items'!$A$2:$A$495,0)),"ID not found"))</f>
        <v/>
      </c>
      <c r="C77" s="355">
        <f>IF(A77="","",IFERROR(INDEX('Dashboard Items'!$E$2:$E$495,MATCH(A77,'Dashboard Items'!$A$2:$A$495,0)),"ID not found"))</f>
        <v/>
      </c>
      <c r="E77" s="355">
        <f>IF(D77="","",IFERROR(INDEX('Dashboard Items'!$C$2:$C$495,MATCH(D77,'Dashboard Items'!$A$2:$A$495,0)),"ID not found"))</f>
        <v/>
      </c>
      <c r="F77" s="355">
        <f>IF(D77="","",IFERROR(INDEX('Dashboard Items'!$F$2:$F$495,MATCH(D77,'Dashboard Items'!$A$2:$A$495,0)),"ID not found"))</f>
        <v/>
      </c>
    </row>
    <row r="78" ht="15" customHeight="1" s="210">
      <c r="B78" s="355">
        <f>IF(A78="","",IFERROR(INDEX('Dashboard Items'!$C$2:$C$495,MATCH(A78,'Dashboard Items'!$A$2:$A$495,0)),"ID not found"))</f>
        <v/>
      </c>
      <c r="C78" s="355">
        <f>IF(A78="","",IFERROR(INDEX('Dashboard Items'!$E$2:$E$495,MATCH(A78,'Dashboard Items'!$A$2:$A$495,0)),"ID not found"))</f>
        <v/>
      </c>
      <c r="E78" s="355">
        <f>IF(D78="","",IFERROR(INDEX('Dashboard Items'!$C$2:$C$495,MATCH(D78,'Dashboard Items'!$A$2:$A$495,0)),"ID not found"))</f>
        <v/>
      </c>
      <c r="F78" s="355">
        <f>IF(D78="","",IFERROR(INDEX('Dashboard Items'!$F$2:$F$495,MATCH(D78,'Dashboard Items'!$A$2:$A$495,0)),"ID not found"))</f>
        <v/>
      </c>
    </row>
    <row r="79" ht="15" customHeight="1" s="210">
      <c r="B79" s="355">
        <f>IF(A79="","",IFERROR(INDEX('Dashboard Items'!$C$2:$C$495,MATCH(A79,'Dashboard Items'!$A$2:$A$495,0)),"ID not found"))</f>
        <v/>
      </c>
      <c r="C79" s="355">
        <f>IF(A79="","",IFERROR(INDEX('Dashboard Items'!$E$2:$E$495,MATCH(A79,'Dashboard Items'!$A$2:$A$495,0)),"ID not found"))</f>
        <v/>
      </c>
      <c r="E79" s="355">
        <f>IF(D79="","",IFERROR(INDEX('Dashboard Items'!$C$2:$C$495,MATCH(D79,'Dashboard Items'!$A$2:$A$495,0)),"ID not found"))</f>
        <v/>
      </c>
      <c r="F79" s="355">
        <f>IF(D79="","",IFERROR(INDEX('Dashboard Items'!$F$2:$F$495,MATCH(D79,'Dashboard Items'!$A$2:$A$495,0)),"ID not found"))</f>
        <v/>
      </c>
    </row>
    <row r="80" ht="15" customHeight="1" s="210">
      <c r="B80" s="355">
        <f>IF(A80="","",IFERROR(INDEX('Dashboard Items'!$C$2:$C$495,MATCH(A80,'Dashboard Items'!$A$2:$A$495,0)),"ID not found"))</f>
        <v/>
      </c>
      <c r="C80" s="355">
        <f>IF(A80="","",IFERROR(INDEX('Dashboard Items'!$E$2:$E$495,MATCH(A80,'Dashboard Items'!$A$2:$A$495,0)),"ID not found"))</f>
        <v/>
      </c>
      <c r="E80" s="355">
        <f>IF(D80="","",IFERROR(INDEX('Dashboard Items'!$C$2:$C$495,MATCH(D80,'Dashboard Items'!$A$2:$A$495,0)),"ID not found"))</f>
        <v/>
      </c>
      <c r="F80" s="355">
        <f>IF(D80="","",IFERROR(INDEX('Dashboard Items'!$F$2:$F$495,MATCH(D80,'Dashboard Items'!$A$2:$A$495,0)),"ID not found"))</f>
        <v/>
      </c>
    </row>
    <row r="81" ht="15" customHeight="1" s="210">
      <c r="B81" s="355">
        <f>IF(A81="","",IFERROR(INDEX('Dashboard Items'!$C$2:$C$495,MATCH(A81,'Dashboard Items'!$A$2:$A$495,0)),"ID not found"))</f>
        <v/>
      </c>
      <c r="C81" s="355">
        <f>IF(A81="","",IFERROR(INDEX('Dashboard Items'!$E$2:$E$495,MATCH(A81,'Dashboard Items'!$A$2:$A$495,0)),"ID not found"))</f>
        <v/>
      </c>
      <c r="E81" s="355">
        <f>IF(D81="","",IFERROR(INDEX('Dashboard Items'!$C$2:$C$495,MATCH(D81,'Dashboard Items'!$A$2:$A$495,0)),"ID not found"))</f>
        <v/>
      </c>
      <c r="F81" s="355">
        <f>IF(D81="","",IFERROR(INDEX('Dashboard Items'!$F$2:$F$495,MATCH(D81,'Dashboard Items'!$A$2:$A$495,0)),"ID not found"))</f>
        <v/>
      </c>
    </row>
    <row r="82" ht="15" customHeight="1" s="210">
      <c r="B82" s="355">
        <f>IF(A82="","",IFERROR(INDEX('Dashboard Items'!$C$2:$C$495,MATCH(A82,'Dashboard Items'!$A$2:$A$495,0)),"ID not found"))</f>
        <v/>
      </c>
      <c r="C82" s="355">
        <f>IF(A82="","",IFERROR(INDEX('Dashboard Items'!$E$2:$E$495,MATCH(A82,'Dashboard Items'!$A$2:$A$495,0)),"ID not found"))</f>
        <v/>
      </c>
      <c r="E82" s="355">
        <f>IF(D82="","",IFERROR(INDEX('Dashboard Items'!$C$2:$C$495,MATCH(D82,'Dashboard Items'!$A$2:$A$495,0)),"ID not found"))</f>
        <v/>
      </c>
      <c r="F82" s="355">
        <f>IF(D82="","",IFERROR(INDEX('Dashboard Items'!$F$2:$F$495,MATCH(D82,'Dashboard Items'!$A$2:$A$495,0)),"ID not found"))</f>
        <v/>
      </c>
    </row>
    <row r="83" ht="15" customHeight="1" s="210">
      <c r="B83" s="355">
        <f>IF(A83="","",IFERROR(INDEX('Dashboard Items'!$C$2:$C$495,MATCH(A83,'Dashboard Items'!$A$2:$A$495,0)),"ID not found"))</f>
        <v/>
      </c>
      <c r="C83" s="355">
        <f>IF(A83="","",IFERROR(INDEX('Dashboard Items'!$E$2:$E$495,MATCH(A83,'Dashboard Items'!$A$2:$A$495,0)),"ID not found"))</f>
        <v/>
      </c>
      <c r="E83" s="355">
        <f>IF(D83="","",IFERROR(INDEX('Dashboard Items'!$C$2:$C$495,MATCH(D83,'Dashboard Items'!$A$2:$A$495,0)),"ID not found"))</f>
        <v/>
      </c>
      <c r="F83" s="355">
        <f>IF(D83="","",IFERROR(INDEX('Dashboard Items'!$F$2:$F$495,MATCH(D83,'Dashboard Items'!$A$2:$A$495,0)),"ID not found"))</f>
        <v/>
      </c>
    </row>
    <row r="84" ht="15" customHeight="1" s="210">
      <c r="B84" s="355">
        <f>IF(A84="","",IFERROR(INDEX('Dashboard Items'!$C$2:$C$495,MATCH(A84,'Dashboard Items'!$A$2:$A$495,0)),"ID not found"))</f>
        <v/>
      </c>
      <c r="C84" s="355">
        <f>IF(A84="","",IFERROR(INDEX('Dashboard Items'!$E$2:$E$495,MATCH(A84,'Dashboard Items'!$A$2:$A$495,0)),"ID not found"))</f>
        <v/>
      </c>
      <c r="E84" s="355">
        <f>IF(D84="","",IFERROR(INDEX('Dashboard Items'!$C$2:$C$495,MATCH(D84,'Dashboard Items'!$A$2:$A$495,0)),"ID not found"))</f>
        <v/>
      </c>
      <c r="F84" s="355">
        <f>IF(D84="","",IFERROR(INDEX('Dashboard Items'!$F$2:$F$495,MATCH(D84,'Dashboard Items'!$A$2:$A$495,0)),"ID not found"))</f>
        <v/>
      </c>
    </row>
    <row r="85" ht="15" customHeight="1" s="210">
      <c r="B85" s="355">
        <f>IF(A85="","",IFERROR(INDEX('Dashboard Items'!$C$2:$C$495,MATCH(A85,'Dashboard Items'!$A$2:$A$495,0)),"ID not found"))</f>
        <v/>
      </c>
      <c r="C85" s="355">
        <f>IF(A85="","",IFERROR(INDEX('Dashboard Items'!$E$2:$E$495,MATCH(A85,'Dashboard Items'!$A$2:$A$495,0)),"ID not found"))</f>
        <v/>
      </c>
      <c r="E85" s="355">
        <f>IF(D85="","",IFERROR(INDEX('Dashboard Items'!$C$2:$C$495,MATCH(D85,'Dashboard Items'!$A$2:$A$495,0)),"ID not found"))</f>
        <v/>
      </c>
      <c r="F85" s="355">
        <f>IF(D85="","",IFERROR(INDEX('Dashboard Items'!$F$2:$F$495,MATCH(D85,'Dashboard Items'!$A$2:$A$495,0)),"ID not found"))</f>
        <v/>
      </c>
    </row>
    <row r="86" ht="15" customHeight="1" s="210">
      <c r="B86" s="355">
        <f>IF(A86="","",IFERROR(INDEX('Dashboard Items'!$C$2:$C$495,MATCH(A86,'Dashboard Items'!$A$2:$A$495,0)),"ID not found"))</f>
        <v/>
      </c>
      <c r="C86" s="355">
        <f>IF(A86="","",IFERROR(INDEX('Dashboard Items'!$E$2:$E$495,MATCH(A86,'Dashboard Items'!$A$2:$A$495,0)),"ID not found"))</f>
        <v/>
      </c>
      <c r="E86" s="355">
        <f>IF(D86="","",IFERROR(INDEX('Dashboard Items'!$C$2:$C$495,MATCH(D86,'Dashboard Items'!$A$2:$A$495,0)),"ID not found"))</f>
        <v/>
      </c>
      <c r="F86" s="355">
        <f>IF(D86="","",IFERROR(INDEX('Dashboard Items'!$F$2:$F$495,MATCH(D86,'Dashboard Items'!$A$2:$A$495,0)),"ID not found"))</f>
        <v/>
      </c>
    </row>
    <row r="87" ht="15" customHeight="1" s="210">
      <c r="B87" s="355">
        <f>IF(A87="","",IFERROR(INDEX('Dashboard Items'!$C$2:$C$495,MATCH(A87,'Dashboard Items'!$A$2:$A$495,0)),"ID not found"))</f>
        <v/>
      </c>
      <c r="C87" s="355">
        <f>IF(A87="","",IFERROR(INDEX('Dashboard Items'!$E$2:$E$495,MATCH(A87,'Dashboard Items'!$A$2:$A$495,0)),"ID not found"))</f>
        <v/>
      </c>
      <c r="E87" s="355">
        <f>IF(D87="","",IFERROR(INDEX('Dashboard Items'!$C$2:$C$495,MATCH(D87,'Dashboard Items'!$A$2:$A$495,0)),"ID not found"))</f>
        <v/>
      </c>
      <c r="F87" s="355">
        <f>IF(D87="","",IFERROR(INDEX('Dashboard Items'!$F$2:$F$495,MATCH(D87,'Dashboard Items'!$A$2:$A$495,0)),"ID not found"))</f>
        <v/>
      </c>
    </row>
    <row r="88" ht="15" customHeight="1" s="210">
      <c r="B88" s="355">
        <f>IF(A88="","",IFERROR(INDEX('Dashboard Items'!$C$2:$C$495,MATCH(A88,'Dashboard Items'!$A$2:$A$495,0)),"ID not found"))</f>
        <v/>
      </c>
      <c r="C88" s="355">
        <f>IF(A88="","",IFERROR(INDEX('Dashboard Items'!$E$2:$E$495,MATCH(A88,'Dashboard Items'!$A$2:$A$495,0)),"ID not found"))</f>
        <v/>
      </c>
      <c r="E88" s="355">
        <f>IF(D88="","",IFERROR(INDEX('Dashboard Items'!$C$2:$C$495,MATCH(D88,'Dashboard Items'!$A$2:$A$495,0)),"ID not found"))</f>
        <v/>
      </c>
      <c r="F88" s="355">
        <f>IF(D88="","",IFERROR(INDEX('Dashboard Items'!$F$2:$F$495,MATCH(D88,'Dashboard Items'!$A$2:$A$495,0)),"ID not found"))</f>
        <v/>
      </c>
    </row>
    <row r="89" ht="15" customHeight="1" s="210">
      <c r="B89" s="355">
        <f>IF(A89="","",IFERROR(INDEX('Dashboard Items'!$C$2:$C$495,MATCH(A89,'Dashboard Items'!$A$2:$A$495,0)),"ID not found"))</f>
        <v/>
      </c>
      <c r="C89" s="355">
        <f>IF(A89="","",IFERROR(INDEX('Dashboard Items'!$E$2:$E$495,MATCH(A89,'Dashboard Items'!$A$2:$A$495,0)),"ID not found"))</f>
        <v/>
      </c>
      <c r="E89" s="355">
        <f>IF(D89="","",IFERROR(INDEX('Dashboard Items'!$C$2:$C$495,MATCH(D89,'Dashboard Items'!$A$2:$A$495,0)),"ID not found"))</f>
        <v/>
      </c>
      <c r="F89" s="355">
        <f>IF(D89="","",IFERROR(INDEX('Dashboard Items'!$F$2:$F$495,MATCH(D89,'Dashboard Items'!$A$2:$A$495,0)),"ID not found"))</f>
        <v/>
      </c>
    </row>
    <row r="90" ht="15" customHeight="1" s="210">
      <c r="B90" s="355">
        <f>IF(A90="","",IFERROR(INDEX('Dashboard Items'!$C$2:$C$495,MATCH(A90,'Dashboard Items'!$A$2:$A$495,0)),"ID not found"))</f>
        <v/>
      </c>
      <c r="C90" s="355">
        <f>IF(A90="","",IFERROR(INDEX('Dashboard Items'!$E$2:$E$495,MATCH(A90,'Dashboard Items'!$A$2:$A$495,0)),"ID not found"))</f>
        <v/>
      </c>
      <c r="E90" s="355">
        <f>IF(D90="","",IFERROR(INDEX('Dashboard Items'!$C$2:$C$495,MATCH(D90,'Dashboard Items'!$A$2:$A$495,0)),"ID not found"))</f>
        <v/>
      </c>
      <c r="F90" s="355">
        <f>IF(D90="","",IFERROR(INDEX('Dashboard Items'!$F$2:$F$495,MATCH(D90,'Dashboard Items'!$A$2:$A$495,0)),"ID not found"))</f>
        <v/>
      </c>
    </row>
    <row r="91" ht="15" customHeight="1" s="210">
      <c r="B91" s="355">
        <f>IF(A91="","",IFERROR(INDEX('Dashboard Items'!$C$2:$C$495,MATCH(A91,'Dashboard Items'!$A$2:$A$495,0)),"ID not found"))</f>
        <v/>
      </c>
      <c r="C91" s="355">
        <f>IF(A91="","",IFERROR(INDEX('Dashboard Items'!$E$2:$E$495,MATCH(A91,'Dashboard Items'!$A$2:$A$495,0)),"ID not found"))</f>
        <v/>
      </c>
      <c r="E91" s="355">
        <f>IF(D91="","",IFERROR(INDEX('Dashboard Items'!$C$2:$C$495,MATCH(D91,'Dashboard Items'!$A$2:$A$495,0)),"ID not found"))</f>
        <v/>
      </c>
      <c r="F91" s="355">
        <f>IF(D91="","",IFERROR(INDEX('Dashboard Items'!$F$2:$F$495,MATCH(D91,'Dashboard Items'!$A$2:$A$495,0)),"ID not found"))</f>
        <v/>
      </c>
    </row>
    <row r="92" ht="15" customHeight="1" s="210">
      <c r="B92" s="355">
        <f>IF(A92="","",IFERROR(INDEX('Dashboard Items'!$C$2:$C$495,MATCH(A92,'Dashboard Items'!$A$2:$A$495,0)),"ID not found"))</f>
        <v/>
      </c>
      <c r="C92" s="355">
        <f>IF(A92="","",IFERROR(INDEX('Dashboard Items'!$E$2:$E$495,MATCH(A92,'Dashboard Items'!$A$2:$A$495,0)),"ID not found"))</f>
        <v/>
      </c>
      <c r="E92" s="355">
        <f>IF(D92="","",IFERROR(INDEX('Dashboard Items'!$C$2:$C$495,MATCH(D92,'Dashboard Items'!$A$2:$A$495,0)),"ID not found"))</f>
        <v/>
      </c>
      <c r="F92" s="355">
        <f>IF(D92="","",IFERROR(INDEX('Dashboard Items'!$F$2:$F$495,MATCH(D92,'Dashboard Items'!$A$2:$A$495,0)),"ID not found"))</f>
        <v/>
      </c>
    </row>
    <row r="93" ht="15" customHeight="1" s="210">
      <c r="B93" s="355">
        <f>IF(A93="","",IFERROR(INDEX('Dashboard Items'!$C$2:$C$495,MATCH(A93,'Dashboard Items'!$A$2:$A$495,0)),"ID not found"))</f>
        <v/>
      </c>
      <c r="C93" s="355">
        <f>IF(A93="","",IFERROR(INDEX('Dashboard Items'!$E$2:$E$495,MATCH(A93,'Dashboard Items'!$A$2:$A$495,0)),"ID not found"))</f>
        <v/>
      </c>
      <c r="E93" s="355">
        <f>IF(D93="","",IFERROR(INDEX('Dashboard Items'!$C$2:$C$495,MATCH(D93,'Dashboard Items'!$A$2:$A$495,0)),"ID not found"))</f>
        <v/>
      </c>
      <c r="F93" s="355">
        <f>IF(D93="","",IFERROR(INDEX('Dashboard Items'!$F$2:$F$495,MATCH(D93,'Dashboard Items'!$A$2:$A$495,0)),"ID not found"))</f>
        <v/>
      </c>
    </row>
    <row r="94" ht="15" customHeight="1" s="210">
      <c r="B94" s="355">
        <f>IF(A94="","",IFERROR(INDEX('Dashboard Items'!$C$2:$C$495,MATCH(A94,'Dashboard Items'!$A$2:$A$495,0)),"ID not found"))</f>
        <v/>
      </c>
      <c r="C94" s="355">
        <f>IF(A94="","",IFERROR(INDEX('Dashboard Items'!$E$2:$E$495,MATCH(A94,'Dashboard Items'!$A$2:$A$495,0)),"ID not found"))</f>
        <v/>
      </c>
      <c r="E94" s="355">
        <f>IF(D94="","",IFERROR(INDEX('Dashboard Items'!$C$2:$C$495,MATCH(D94,'Dashboard Items'!$A$2:$A$495,0)),"ID not found"))</f>
        <v/>
      </c>
      <c r="F94" s="355">
        <f>IF(D94="","",IFERROR(INDEX('Dashboard Items'!$F$2:$F$495,MATCH(D94,'Dashboard Items'!$A$2:$A$495,0)),"ID not found"))</f>
        <v/>
      </c>
    </row>
    <row r="95" ht="15" customHeight="1" s="210">
      <c r="B95" s="355">
        <f>IF(A95="","",IFERROR(INDEX('Dashboard Items'!$C$2:$C$495,MATCH(A95,'Dashboard Items'!$A$2:$A$495,0)),"ID not found"))</f>
        <v/>
      </c>
      <c r="C95" s="355">
        <f>IF(A95="","",IFERROR(INDEX('Dashboard Items'!$E$2:$E$495,MATCH(A95,'Dashboard Items'!$A$2:$A$495,0)),"ID not found"))</f>
        <v/>
      </c>
      <c r="E95" s="355">
        <f>IF(D95="","",IFERROR(INDEX('Dashboard Items'!$C$2:$C$495,MATCH(D95,'Dashboard Items'!$A$2:$A$495,0)),"ID not found"))</f>
        <v/>
      </c>
      <c r="F95" s="355">
        <f>IF(D95="","",IFERROR(INDEX('Dashboard Items'!$F$2:$F$495,MATCH(D95,'Dashboard Items'!$A$2:$A$495,0)),"ID not found"))</f>
        <v/>
      </c>
    </row>
    <row r="96" ht="15" customHeight="1" s="210">
      <c r="B96" s="355">
        <f>IF(A96="","",IFERROR(INDEX('Dashboard Items'!$C$2:$C$495,MATCH(A96,'Dashboard Items'!$A$2:$A$495,0)),"ID not found"))</f>
        <v/>
      </c>
      <c r="C96" s="355">
        <f>IF(A96="","",IFERROR(INDEX('Dashboard Items'!$E$2:$E$495,MATCH(A96,'Dashboard Items'!$A$2:$A$495,0)),"ID not found"))</f>
        <v/>
      </c>
      <c r="E96" s="355">
        <f>IF(D96="","",IFERROR(INDEX('Dashboard Items'!$C$2:$C$495,MATCH(D96,'Dashboard Items'!$A$2:$A$495,0)),"ID not found"))</f>
        <v/>
      </c>
      <c r="F96" s="355">
        <f>IF(D96="","",IFERROR(INDEX('Dashboard Items'!$F$2:$F$495,MATCH(D96,'Dashboard Items'!$A$2:$A$495,0)),"ID not found"))</f>
        <v/>
      </c>
    </row>
    <row r="97" ht="15" customHeight="1" s="210">
      <c r="B97" s="355">
        <f>IF(A97="","",IFERROR(INDEX('Dashboard Items'!$C$2:$C$495,MATCH(A97,'Dashboard Items'!$A$2:$A$495,0)),"ID not found"))</f>
        <v/>
      </c>
      <c r="C97" s="355">
        <f>IF(A97="","",IFERROR(INDEX('Dashboard Items'!$E$2:$E$495,MATCH(A97,'Dashboard Items'!$A$2:$A$495,0)),"ID not found"))</f>
        <v/>
      </c>
      <c r="E97" s="355">
        <f>IF(D97="","",IFERROR(INDEX('Dashboard Items'!$C$2:$C$495,MATCH(D97,'Dashboard Items'!$A$2:$A$495,0)),"ID not found"))</f>
        <v/>
      </c>
      <c r="F97" s="355">
        <f>IF(D97="","",IFERROR(INDEX('Dashboard Items'!$F$2:$F$495,MATCH(D97,'Dashboard Items'!$A$2:$A$495,0)),"ID not found"))</f>
        <v/>
      </c>
    </row>
    <row r="98" ht="15" customHeight="1" s="210">
      <c r="B98" s="355">
        <f>IF(A98="","",IFERROR(INDEX('Dashboard Items'!$C$2:$C$495,MATCH(A98,'Dashboard Items'!$A$2:$A$495,0)),"ID not found"))</f>
        <v/>
      </c>
      <c r="C98" s="355">
        <f>IF(A98="","",IFERROR(INDEX('Dashboard Items'!$E$2:$E$495,MATCH(A98,'Dashboard Items'!$A$2:$A$495,0)),"ID not found"))</f>
        <v/>
      </c>
      <c r="E98" s="355">
        <f>IF(D98="","",IFERROR(INDEX('Dashboard Items'!$C$2:$C$495,MATCH(D98,'Dashboard Items'!$A$2:$A$495,0)),"ID not found"))</f>
        <v/>
      </c>
      <c r="F98" s="355">
        <f>IF(D98="","",IFERROR(INDEX('Dashboard Items'!$F$2:$F$495,MATCH(D98,'Dashboard Items'!$A$2:$A$495,0)),"ID not found"))</f>
        <v/>
      </c>
    </row>
    <row r="99" ht="15" customHeight="1" s="210">
      <c r="B99" s="355">
        <f>IF(A99="","",IFERROR(INDEX('Dashboard Items'!$C$2:$C$495,MATCH(A99,'Dashboard Items'!$A$2:$A$495,0)),"ID not found"))</f>
        <v/>
      </c>
      <c r="C99" s="355">
        <f>IF(A99="","",IFERROR(INDEX('Dashboard Items'!$E$2:$E$495,MATCH(A99,'Dashboard Items'!$A$2:$A$495,0)),"ID not found"))</f>
        <v/>
      </c>
      <c r="E99" s="355">
        <f>IF(D99="","",IFERROR(INDEX('Dashboard Items'!$C$2:$C$495,MATCH(D99,'Dashboard Items'!$A$2:$A$495,0)),"ID not found"))</f>
        <v/>
      </c>
      <c r="F99" s="355">
        <f>IF(D99="","",IFERROR(INDEX('Dashboard Items'!$F$2:$F$495,MATCH(D99,'Dashboard Items'!$A$2:$A$495,0)),"ID not found"))</f>
        <v/>
      </c>
    </row>
    <row r="100" ht="15" customHeight="1" s="210">
      <c r="B100" s="355">
        <f>IF(A100="","",IFERROR(INDEX('Dashboard Items'!$C$2:$C$495,MATCH(A100,'Dashboard Items'!$A$2:$A$495,0)),"ID not found"))</f>
        <v/>
      </c>
      <c r="C100" s="355">
        <f>IF(A100="","",IFERROR(INDEX('Dashboard Items'!$E$2:$E$495,MATCH(A100,'Dashboard Items'!$A$2:$A$495,0)),"ID not found"))</f>
        <v/>
      </c>
      <c r="E100" s="355">
        <f>IF(D100="","",IFERROR(INDEX('Dashboard Items'!$C$2:$C$495,MATCH(D100,'Dashboard Items'!$A$2:$A$495,0)),"ID not found"))</f>
        <v/>
      </c>
      <c r="F100" s="355">
        <f>IF(D100="","",IFERROR(INDEX('Dashboard Items'!$F$2:$F$495,MATCH(D100,'Dashboard Items'!$A$2:$A$495,0)),"ID not found"))</f>
        <v/>
      </c>
    </row>
    <row r="101" ht="15" customHeight="1" s="210">
      <c r="B101" s="355">
        <f>IF(A101="","",IFERROR(INDEX('Dashboard Items'!$C$2:$C$495,MATCH(A101,'Dashboard Items'!$A$2:$A$495,0)),"ID not found"))</f>
        <v/>
      </c>
      <c r="C101" s="355">
        <f>IF(A101="","",IFERROR(INDEX('Dashboard Items'!$E$2:$E$495,MATCH(A101,'Dashboard Items'!$A$2:$A$495,0)),"ID not found"))</f>
        <v/>
      </c>
      <c r="E101" s="355">
        <f>IF(D101="","",IFERROR(INDEX('Dashboard Items'!$C$2:$C$495,MATCH(D101,'Dashboard Items'!$A$2:$A$495,0)),"ID not found"))</f>
        <v/>
      </c>
      <c r="F101" s="355">
        <f>IF(D101="","",IFERROR(INDEX('Dashboard Items'!$F$2:$F$495,MATCH(D101,'Dashboard Items'!$A$2:$A$495,0)),"ID not found"))</f>
        <v/>
      </c>
    </row>
    <row r="102" ht="15" customHeight="1" s="210">
      <c r="B102" s="355">
        <f>IF(A102="","",IFERROR(INDEX('Dashboard Items'!$C$2:$C$495,MATCH(A102,'Dashboard Items'!$A$2:$A$495,0)),"ID not found"))</f>
        <v/>
      </c>
      <c r="C102" s="355">
        <f>IF(A102="","",IFERROR(INDEX('Dashboard Items'!$E$2:$E$495,MATCH(A102,'Dashboard Items'!$A$2:$A$495,0)),"ID not found"))</f>
        <v/>
      </c>
      <c r="E102" s="355">
        <f>IF(D102="","",IFERROR(INDEX('Dashboard Items'!$C$2:$C$495,MATCH(D102,'Dashboard Items'!$A$2:$A$495,0)),"ID not found"))</f>
        <v/>
      </c>
      <c r="F102" s="355">
        <f>IF(D102="","",IFERROR(INDEX('Dashboard Items'!$F$2:$F$495,MATCH(D102,'Dashboard Items'!$A$2:$A$495,0)),"ID not found"))</f>
        <v/>
      </c>
    </row>
    <row r="103" ht="15" customHeight="1" s="210">
      <c r="B103" s="355">
        <f>IF(A103="","",IFERROR(INDEX('Dashboard Items'!$C$2:$C$495,MATCH(A103,'Dashboard Items'!$A$2:$A$495,0)),"ID not found"))</f>
        <v/>
      </c>
      <c r="C103" s="355">
        <f>IF(A103="","",IFERROR(INDEX('Dashboard Items'!$E$2:$E$495,MATCH(A103,'Dashboard Items'!$A$2:$A$495,0)),"ID not found"))</f>
        <v/>
      </c>
      <c r="E103" s="355">
        <f>IF(D103="","",IFERROR(INDEX('Dashboard Items'!$C$2:$C$495,MATCH(D103,'Dashboard Items'!$A$2:$A$495,0)),"ID not found"))</f>
        <v/>
      </c>
      <c r="F103" s="355">
        <f>IF(D103="","",IFERROR(INDEX('Dashboard Items'!$F$2:$F$495,MATCH(D103,'Dashboard Items'!$A$2:$A$495,0)),"ID not found"))</f>
        <v/>
      </c>
    </row>
    <row r="104" ht="15" customHeight="1" s="210">
      <c r="B104" s="355">
        <f>IF(A104="","",IFERROR(INDEX('Dashboard Items'!$C$2:$C$495,MATCH(A104,'Dashboard Items'!$A$2:$A$495,0)),"ID not found"))</f>
        <v/>
      </c>
      <c r="C104" s="355">
        <f>IF(A104="","",IFERROR(INDEX('Dashboard Items'!$E$2:$E$495,MATCH(A104,'Dashboard Items'!$A$2:$A$495,0)),"ID not found"))</f>
        <v/>
      </c>
      <c r="E104" s="355">
        <f>IF(D104="","",IFERROR(INDEX('Dashboard Items'!$C$2:$C$495,MATCH(D104,'Dashboard Items'!$A$2:$A$495,0)),"ID not found"))</f>
        <v/>
      </c>
      <c r="F104" s="355">
        <f>IF(D104="","",IFERROR(INDEX('Dashboard Items'!$F$2:$F$495,MATCH(D104,'Dashboard Items'!$A$2:$A$495,0)),"ID not found"))</f>
        <v/>
      </c>
    </row>
    <row r="105" ht="15" customHeight="1" s="210">
      <c r="B105" s="355">
        <f>IF(A105="","",IFERROR(INDEX('Dashboard Items'!$C$2:$C$495,MATCH(A105,'Dashboard Items'!$A$2:$A$495,0)),"ID not found"))</f>
        <v/>
      </c>
      <c r="C105" s="355">
        <f>IF(A105="","",IFERROR(INDEX('Dashboard Items'!$E$2:$E$495,MATCH(A105,'Dashboard Items'!$A$2:$A$495,0)),"ID not found"))</f>
        <v/>
      </c>
      <c r="E105" s="355">
        <f>IF(D105="","",IFERROR(INDEX('Dashboard Items'!$C$2:$C$495,MATCH(D105,'Dashboard Items'!$A$2:$A$495,0)),"ID not found"))</f>
        <v/>
      </c>
      <c r="F105" s="355">
        <f>IF(D105="","",IFERROR(INDEX('Dashboard Items'!$F$2:$F$495,MATCH(D105,'Dashboard Items'!$A$2:$A$495,0)),"ID not found"))</f>
        <v/>
      </c>
    </row>
    <row r="106" ht="15" customHeight="1" s="210">
      <c r="B106" s="355">
        <f>IF(A106="","",IFERROR(INDEX('Dashboard Items'!$C$2:$C$495,MATCH(A106,'Dashboard Items'!$A$2:$A$495,0)),"ID not found"))</f>
        <v/>
      </c>
      <c r="C106" s="355">
        <f>IF(A106="","",IFERROR(INDEX('Dashboard Items'!$E$2:$E$495,MATCH(A106,'Dashboard Items'!$A$2:$A$495,0)),"ID not found"))</f>
        <v/>
      </c>
      <c r="E106" s="355">
        <f>IF(D106="","",IFERROR(INDEX('Dashboard Items'!$C$2:$C$495,MATCH(D106,'Dashboard Items'!$A$2:$A$495,0)),"ID not found"))</f>
        <v/>
      </c>
      <c r="F106" s="355">
        <f>IF(D106="","",IFERROR(INDEX('Dashboard Items'!$F$2:$F$495,MATCH(D106,'Dashboard Items'!$A$2:$A$495,0)),"ID not found"))</f>
        <v/>
      </c>
    </row>
    <row r="107" ht="15" customHeight="1" s="210">
      <c r="B107" s="355">
        <f>IF(A107="","",IFERROR(INDEX('Dashboard Items'!$C$2:$C$495,MATCH(A107,'Dashboard Items'!$A$2:$A$495,0)),"ID not found"))</f>
        <v/>
      </c>
      <c r="C107" s="355">
        <f>IF(A107="","",IFERROR(INDEX('Dashboard Items'!$E$2:$E$495,MATCH(A107,'Dashboard Items'!$A$2:$A$495,0)),"ID not found"))</f>
        <v/>
      </c>
      <c r="E107" s="355">
        <f>IF(D107="","",IFERROR(INDEX('Dashboard Items'!$C$2:$C$495,MATCH(D107,'Dashboard Items'!$A$2:$A$495,0)),"ID not found"))</f>
        <v/>
      </c>
      <c r="F107" s="355">
        <f>IF(D107="","",IFERROR(INDEX('Dashboard Items'!$F$2:$F$495,MATCH(D107,'Dashboard Items'!$A$2:$A$495,0)),"ID not found"))</f>
        <v/>
      </c>
    </row>
    <row r="108" ht="15" customHeight="1" s="210">
      <c r="B108" s="355">
        <f>IF(A108="","",IFERROR(INDEX('Dashboard Items'!$C$2:$C$495,MATCH(A108,'Dashboard Items'!$A$2:$A$495,0)),"ID not found"))</f>
        <v/>
      </c>
      <c r="C108" s="355">
        <f>IF(A108="","",IFERROR(INDEX('Dashboard Items'!$E$2:$E$495,MATCH(A108,'Dashboard Items'!$A$2:$A$495,0)),"ID not found"))</f>
        <v/>
      </c>
      <c r="E108" s="355">
        <f>IF(D108="","",IFERROR(INDEX('Dashboard Items'!$C$2:$C$495,MATCH(D108,'Dashboard Items'!$A$2:$A$495,0)),"ID not found"))</f>
        <v/>
      </c>
      <c r="F108" s="355">
        <f>IF(D108="","",IFERROR(INDEX('Dashboard Items'!$F$2:$F$495,MATCH(D108,'Dashboard Items'!$A$2:$A$495,0)),"ID not found"))</f>
        <v/>
      </c>
    </row>
    <row r="109" ht="15" customHeight="1" s="210">
      <c r="B109" s="355">
        <f>IF(A109="","",IFERROR(INDEX('Dashboard Items'!$C$2:$C$495,MATCH(A109,'Dashboard Items'!$A$2:$A$495,0)),"ID not found"))</f>
        <v/>
      </c>
      <c r="C109" s="355">
        <f>IF(A109="","",IFERROR(INDEX('Dashboard Items'!$E$2:$E$495,MATCH(A109,'Dashboard Items'!$A$2:$A$495,0)),"ID not found"))</f>
        <v/>
      </c>
      <c r="E109" s="355">
        <f>IF(D109="","",IFERROR(INDEX('Dashboard Items'!$C$2:$C$495,MATCH(D109,'Dashboard Items'!$A$2:$A$495,0)),"ID not found"))</f>
        <v/>
      </c>
      <c r="F109" s="355">
        <f>IF(D109="","",IFERROR(INDEX('Dashboard Items'!$F$2:$F$495,MATCH(D109,'Dashboard Items'!$A$2:$A$495,0)),"ID not found"))</f>
        <v/>
      </c>
    </row>
    <row r="110" ht="15" customHeight="1" s="210">
      <c r="B110" s="355">
        <f>IF(A110="","",IFERROR(INDEX('Dashboard Items'!$C$2:$C$495,MATCH(A110,'Dashboard Items'!$A$2:$A$495,0)),"ID not found"))</f>
        <v/>
      </c>
      <c r="C110" s="355">
        <f>IF(A110="","",IFERROR(INDEX('Dashboard Items'!$E$2:$E$495,MATCH(A110,'Dashboard Items'!$A$2:$A$495,0)),"ID not found"))</f>
        <v/>
      </c>
      <c r="E110" s="355">
        <f>IF(D110="","",IFERROR(INDEX('Dashboard Items'!$C$2:$C$495,MATCH(D110,'Dashboard Items'!$A$2:$A$495,0)),"ID not found"))</f>
        <v/>
      </c>
      <c r="F110" s="355">
        <f>IF(D110="","",IFERROR(INDEX('Dashboard Items'!$F$2:$F$495,MATCH(D110,'Dashboard Items'!$A$2:$A$495,0)),"ID not found"))</f>
        <v/>
      </c>
    </row>
    <row r="111" ht="15" customHeight="1" s="210">
      <c r="B111" s="355">
        <f>IF(A111="","",IFERROR(INDEX('Dashboard Items'!$C$2:$C$495,MATCH(A111,'Dashboard Items'!$A$2:$A$495,0)),"ID not found"))</f>
        <v/>
      </c>
      <c r="C111" s="355">
        <f>IF(A111="","",IFERROR(INDEX('Dashboard Items'!$E$2:$E$495,MATCH(A111,'Dashboard Items'!$A$2:$A$495,0)),"ID not found"))</f>
        <v/>
      </c>
      <c r="E111" s="355">
        <f>IF(D111="","",IFERROR(INDEX('Dashboard Items'!$C$2:$C$495,MATCH(D111,'Dashboard Items'!$A$2:$A$495,0)),"ID not found"))</f>
        <v/>
      </c>
      <c r="F111" s="355">
        <f>IF(D111="","",IFERROR(INDEX('Dashboard Items'!$F$2:$F$495,MATCH(D111,'Dashboard Items'!$A$2:$A$495,0)),"ID not found"))</f>
        <v/>
      </c>
    </row>
    <row r="112" ht="15" customHeight="1" s="210">
      <c r="B112" s="355">
        <f>IF(A112="","",IFERROR(INDEX('Dashboard Items'!$C$2:$C$495,MATCH(A112,'Dashboard Items'!$A$2:$A$495,0)),"ID not found"))</f>
        <v/>
      </c>
      <c r="C112" s="355">
        <f>IF(A112="","",IFERROR(INDEX('Dashboard Items'!$E$2:$E$495,MATCH(A112,'Dashboard Items'!$A$2:$A$495,0)),"ID not found"))</f>
        <v/>
      </c>
      <c r="E112" s="355">
        <f>IF(D112="","",IFERROR(INDEX('Dashboard Items'!$C$2:$C$495,MATCH(D112,'Dashboard Items'!$A$2:$A$495,0)),"ID not found"))</f>
        <v/>
      </c>
      <c r="F112" s="355">
        <f>IF(D112="","",IFERROR(INDEX('Dashboard Items'!$F$2:$F$495,MATCH(D112,'Dashboard Items'!$A$2:$A$495,0)),"ID not found"))</f>
        <v/>
      </c>
    </row>
    <row r="113" ht="15" customHeight="1" s="210">
      <c r="B113" s="355">
        <f>IF(A113="","",IFERROR(INDEX('Dashboard Items'!$C$2:$C$495,MATCH(A113,'Dashboard Items'!$A$2:$A$495,0)),"ID not found"))</f>
        <v/>
      </c>
      <c r="C113" s="355">
        <f>IF(A113="","",IFERROR(INDEX('Dashboard Items'!$E$2:$E$495,MATCH(A113,'Dashboard Items'!$A$2:$A$495,0)),"ID not found"))</f>
        <v/>
      </c>
      <c r="E113" s="355">
        <f>IF(D113="","",IFERROR(INDEX('Dashboard Items'!$C$2:$C$495,MATCH(D113,'Dashboard Items'!$A$2:$A$495,0)),"ID not found"))</f>
        <v/>
      </c>
      <c r="F113" s="355">
        <f>IF(D113="","",IFERROR(INDEX('Dashboard Items'!$F$2:$F$495,MATCH(D113,'Dashboard Items'!$A$2:$A$495,0)),"ID not found"))</f>
        <v/>
      </c>
    </row>
    <row r="114" ht="15" customHeight="1" s="210">
      <c r="B114" s="355">
        <f>IF(A114="","",IFERROR(INDEX('Dashboard Items'!$C$2:$C$495,MATCH(A114,'Dashboard Items'!$A$2:$A$495,0)),"ID not found"))</f>
        <v/>
      </c>
      <c r="C114" s="355">
        <f>IF(A114="","",IFERROR(INDEX('Dashboard Items'!$E$2:$E$495,MATCH(A114,'Dashboard Items'!$A$2:$A$495,0)),"ID not found"))</f>
        <v/>
      </c>
      <c r="E114" s="355">
        <f>IF(D114="","",IFERROR(INDEX('Dashboard Items'!$C$2:$C$495,MATCH(D114,'Dashboard Items'!$A$2:$A$495,0)),"ID not found"))</f>
        <v/>
      </c>
      <c r="F114" s="355">
        <f>IF(D114="","",IFERROR(INDEX('Dashboard Items'!$F$2:$F$495,MATCH(D114,'Dashboard Items'!$A$2:$A$495,0)),"ID not found"))</f>
        <v/>
      </c>
    </row>
    <row r="115" ht="15" customHeight="1" s="210">
      <c r="B115" s="355">
        <f>IF(A115="","",IFERROR(INDEX('Dashboard Items'!$C$2:$C$495,MATCH(A115,'Dashboard Items'!$A$2:$A$495,0)),"ID not found"))</f>
        <v/>
      </c>
      <c r="C115" s="355">
        <f>IF(A115="","",IFERROR(INDEX('Dashboard Items'!$E$2:$E$495,MATCH(A115,'Dashboard Items'!$A$2:$A$495,0)),"ID not found"))</f>
        <v/>
      </c>
      <c r="E115" s="355">
        <f>IF(D115="","",IFERROR(INDEX('Dashboard Items'!$C$2:$C$495,MATCH(D115,'Dashboard Items'!$A$2:$A$495,0)),"ID not found"))</f>
        <v/>
      </c>
      <c r="F115" s="355">
        <f>IF(D115="","",IFERROR(INDEX('Dashboard Items'!$F$2:$F$495,MATCH(D115,'Dashboard Items'!$A$2:$A$495,0)),"ID not found"))</f>
        <v/>
      </c>
    </row>
    <row r="116" ht="15" customHeight="1" s="210">
      <c r="B116" s="355">
        <f>IF(A116="","",IFERROR(INDEX('Dashboard Items'!$C$2:$C$495,MATCH(A116,'Dashboard Items'!$A$2:$A$495,0)),"ID not found"))</f>
        <v/>
      </c>
      <c r="C116" s="355">
        <f>IF(A116="","",IFERROR(INDEX('Dashboard Items'!$E$2:$E$495,MATCH(A116,'Dashboard Items'!$A$2:$A$495,0)),"ID not found"))</f>
        <v/>
      </c>
      <c r="E116" s="355">
        <f>IF(D116="","",IFERROR(INDEX('Dashboard Items'!$C$2:$C$495,MATCH(D116,'Dashboard Items'!$A$2:$A$495,0)),"ID not found"))</f>
        <v/>
      </c>
      <c r="F116" s="355">
        <f>IF(D116="","",IFERROR(INDEX('Dashboard Items'!$F$2:$F$495,MATCH(D116,'Dashboard Items'!$A$2:$A$495,0)),"ID not found"))</f>
        <v/>
      </c>
    </row>
    <row r="117" ht="15" customHeight="1" s="210">
      <c r="B117" s="355">
        <f>IF(A117="","",IFERROR(INDEX('Dashboard Items'!$C$2:$C$495,MATCH(A117,'Dashboard Items'!$A$2:$A$495,0)),"ID not found"))</f>
        <v/>
      </c>
      <c r="C117" s="355">
        <f>IF(A117="","",IFERROR(INDEX('Dashboard Items'!$E$2:$E$495,MATCH(A117,'Dashboard Items'!$A$2:$A$495,0)),"ID not found"))</f>
        <v/>
      </c>
      <c r="E117" s="355">
        <f>IF(D117="","",IFERROR(INDEX('Dashboard Items'!$C$2:$C$495,MATCH(D117,'Dashboard Items'!$A$2:$A$495,0)),"ID not found"))</f>
        <v/>
      </c>
      <c r="F117" s="355">
        <f>IF(D117="","",IFERROR(INDEX('Dashboard Items'!$F$2:$F$495,MATCH(D117,'Dashboard Items'!$A$2:$A$495,0)),"ID not found"))</f>
        <v/>
      </c>
    </row>
    <row r="118" ht="15" customHeight="1" s="210">
      <c r="B118" s="355">
        <f>IF(A118="","",IFERROR(INDEX('Dashboard Items'!$C$2:$C$495,MATCH(A118,'Dashboard Items'!$A$2:$A$495,0)),"ID not found"))</f>
        <v/>
      </c>
      <c r="C118" s="355">
        <f>IF(A118="","",IFERROR(INDEX('Dashboard Items'!$E$2:$E$495,MATCH(A118,'Dashboard Items'!$A$2:$A$495,0)),"ID not found"))</f>
        <v/>
      </c>
      <c r="E118" s="355">
        <f>IF(D118="","",IFERROR(INDEX('Dashboard Items'!$C$2:$C$495,MATCH(D118,'Dashboard Items'!$A$2:$A$495,0)),"ID not found"))</f>
        <v/>
      </c>
      <c r="F118" s="355">
        <f>IF(D118="","",IFERROR(INDEX('Dashboard Items'!$F$2:$F$495,MATCH(D118,'Dashboard Items'!$A$2:$A$495,0)),"ID not found"))</f>
        <v/>
      </c>
    </row>
    <row r="119" ht="15" customHeight="1" s="210">
      <c r="B119" s="355">
        <f>IF(A119="","",IFERROR(INDEX('Dashboard Items'!$C$2:$C$495,MATCH(A119,'Dashboard Items'!$A$2:$A$495,0)),"ID not found"))</f>
        <v/>
      </c>
      <c r="C119" s="355">
        <f>IF(A119="","",IFERROR(INDEX('Dashboard Items'!$E$2:$E$495,MATCH(A119,'Dashboard Items'!$A$2:$A$495,0)),"ID not found"))</f>
        <v/>
      </c>
      <c r="E119" s="355">
        <f>IF(D119="","",IFERROR(INDEX('Dashboard Items'!$C$2:$C$495,MATCH(D119,'Dashboard Items'!$A$2:$A$495,0)),"ID not found"))</f>
        <v/>
      </c>
      <c r="F119" s="355">
        <f>IF(D119="","",IFERROR(INDEX('Dashboard Items'!$F$2:$F$495,MATCH(D119,'Dashboard Items'!$A$2:$A$495,0)),"ID not found"))</f>
        <v/>
      </c>
    </row>
    <row r="120" ht="15" customHeight="1" s="210">
      <c r="B120" s="355">
        <f>IF(A120="","",IFERROR(INDEX('Dashboard Items'!$C$2:$C$495,MATCH(A120,'Dashboard Items'!$A$2:$A$495,0)),"ID not found"))</f>
        <v/>
      </c>
      <c r="C120" s="355">
        <f>IF(A120="","",IFERROR(INDEX('Dashboard Items'!$E$2:$E$495,MATCH(A120,'Dashboard Items'!$A$2:$A$495,0)),"ID not found"))</f>
        <v/>
      </c>
      <c r="E120" s="355">
        <f>IF(D120="","",IFERROR(INDEX('Dashboard Items'!$C$2:$C$495,MATCH(D120,'Dashboard Items'!$A$2:$A$495,0)),"ID not found"))</f>
        <v/>
      </c>
      <c r="F120" s="355">
        <f>IF(D120="","",IFERROR(INDEX('Dashboard Items'!$F$2:$F$495,MATCH(D120,'Dashboard Items'!$A$2:$A$495,0)),"ID not found"))</f>
        <v/>
      </c>
    </row>
    <row r="121" ht="15" customHeight="1" s="210">
      <c r="B121" s="355">
        <f>IF(A121="","",IFERROR(INDEX('Dashboard Items'!$C$2:$C$495,MATCH(A121,'Dashboard Items'!$A$2:$A$495,0)),"ID not found"))</f>
        <v/>
      </c>
      <c r="C121" s="355">
        <f>IF(A121="","",IFERROR(INDEX('Dashboard Items'!$E$2:$E$495,MATCH(A121,'Dashboard Items'!$A$2:$A$495,0)),"ID not found"))</f>
        <v/>
      </c>
      <c r="E121" s="355">
        <f>IF(D121="","",IFERROR(INDEX('Dashboard Items'!$C$2:$C$495,MATCH(D121,'Dashboard Items'!$A$2:$A$495,0)),"ID not found"))</f>
        <v/>
      </c>
      <c r="F121" s="355">
        <f>IF(D121="","",IFERROR(INDEX('Dashboard Items'!$F$2:$F$495,MATCH(D121,'Dashboard Items'!$A$2:$A$495,0)),"ID not found"))</f>
        <v/>
      </c>
    </row>
    <row r="122" ht="15" customHeight="1" s="210">
      <c r="B122" s="355">
        <f>IF(A122="","",IFERROR(INDEX('Dashboard Items'!$C$2:$C$495,MATCH(A122,'Dashboard Items'!$A$2:$A$495,0)),"ID not found"))</f>
        <v/>
      </c>
      <c r="C122" s="355">
        <f>IF(A122="","",IFERROR(INDEX('Dashboard Items'!$E$2:$E$495,MATCH(A122,'Dashboard Items'!$A$2:$A$495,0)),"ID not found"))</f>
        <v/>
      </c>
      <c r="E122" s="355">
        <f>IF(D122="","",IFERROR(INDEX('Dashboard Items'!$C$2:$C$495,MATCH(D122,'Dashboard Items'!$A$2:$A$495,0)),"ID not found"))</f>
        <v/>
      </c>
      <c r="F122" s="355">
        <f>IF(D122="","",IFERROR(INDEX('Dashboard Items'!$F$2:$F$495,MATCH(D122,'Dashboard Items'!$A$2:$A$495,0)),"ID not found"))</f>
        <v/>
      </c>
    </row>
    <row r="123" ht="15" customHeight="1" s="210">
      <c r="B123" s="355">
        <f>IF(A123="","",IFERROR(INDEX('Dashboard Items'!$C$2:$C$495,MATCH(A123,'Dashboard Items'!$A$2:$A$495,0)),"ID not found"))</f>
        <v/>
      </c>
      <c r="C123" s="355">
        <f>IF(A123="","",IFERROR(INDEX('Dashboard Items'!$E$2:$E$495,MATCH(A123,'Dashboard Items'!$A$2:$A$495,0)),"ID not found"))</f>
        <v/>
      </c>
      <c r="E123" s="355">
        <f>IF(D123="","",IFERROR(INDEX('Dashboard Items'!$C$2:$C$495,MATCH(D123,'Dashboard Items'!$A$2:$A$495,0)),"ID not found"))</f>
        <v/>
      </c>
      <c r="F123" s="355">
        <f>IF(D123="","",IFERROR(INDEX('Dashboard Items'!$F$2:$F$495,MATCH(D123,'Dashboard Items'!$A$2:$A$495,0)),"ID not found"))</f>
        <v/>
      </c>
    </row>
    <row r="124" ht="15" customHeight="1" s="210">
      <c r="B124" s="355">
        <f>IF(A124="","",IFERROR(INDEX('Dashboard Items'!$C$2:$C$495,MATCH(A124,'Dashboard Items'!$A$2:$A$495,0)),"ID not found"))</f>
        <v/>
      </c>
      <c r="C124" s="355">
        <f>IF(A124="","",IFERROR(INDEX('Dashboard Items'!$E$2:$E$495,MATCH(A124,'Dashboard Items'!$A$2:$A$495,0)),"ID not found"))</f>
        <v/>
      </c>
      <c r="E124" s="355">
        <f>IF(D124="","",IFERROR(INDEX('Dashboard Items'!$C$2:$C$495,MATCH(D124,'Dashboard Items'!$A$2:$A$495,0)),"ID not found"))</f>
        <v/>
      </c>
      <c r="F124" s="355">
        <f>IF(D124="","",IFERROR(INDEX('Dashboard Items'!$F$2:$F$495,MATCH(D124,'Dashboard Items'!$A$2:$A$495,0)),"ID not found"))</f>
        <v/>
      </c>
    </row>
    <row r="125" ht="15" customHeight="1" s="210">
      <c r="B125" s="355">
        <f>IF(A125="","",IFERROR(INDEX('Dashboard Items'!$C$2:$C$495,MATCH(A125,'Dashboard Items'!$A$2:$A$495,0)),"ID not found"))</f>
        <v/>
      </c>
      <c r="C125" s="355">
        <f>IF(A125="","",IFERROR(INDEX('Dashboard Items'!$E$2:$E$495,MATCH(A125,'Dashboard Items'!$A$2:$A$495,0)),"ID not found"))</f>
        <v/>
      </c>
      <c r="E125" s="355">
        <f>IF(D125="","",IFERROR(INDEX('Dashboard Items'!$C$2:$C$495,MATCH(D125,'Dashboard Items'!$A$2:$A$495,0)),"ID not found"))</f>
        <v/>
      </c>
      <c r="F125" s="355">
        <f>IF(D125="","",IFERROR(INDEX('Dashboard Items'!$F$2:$F$495,MATCH(D125,'Dashboard Items'!$A$2:$A$495,0)),"ID not found"))</f>
        <v/>
      </c>
    </row>
    <row r="126" ht="15" customHeight="1" s="210">
      <c r="B126" s="355">
        <f>IF(A126="","",IFERROR(INDEX('Dashboard Items'!$C$2:$C$495,MATCH(A126,'Dashboard Items'!$A$2:$A$495,0)),"ID not found"))</f>
        <v/>
      </c>
      <c r="C126" s="355">
        <f>IF(A126="","",IFERROR(INDEX('Dashboard Items'!$E$2:$E$495,MATCH(A126,'Dashboard Items'!$A$2:$A$495,0)),"ID not found"))</f>
        <v/>
      </c>
      <c r="E126" s="355">
        <f>IF(D126="","",IFERROR(INDEX('Dashboard Items'!$C$2:$C$495,MATCH(D126,'Dashboard Items'!$A$2:$A$495,0)),"ID not found"))</f>
        <v/>
      </c>
      <c r="F126" s="355">
        <f>IF(D126="","",IFERROR(INDEX('Dashboard Items'!$F$2:$F$495,MATCH(D126,'Dashboard Items'!$A$2:$A$495,0)),"ID not found"))</f>
        <v/>
      </c>
    </row>
    <row r="127" ht="15" customHeight="1" s="210">
      <c r="B127" s="355">
        <f>IF(A127="","",IFERROR(INDEX('Dashboard Items'!$C$2:$C$495,MATCH(A127,'Dashboard Items'!$A$2:$A$495,0)),"ID not found"))</f>
        <v/>
      </c>
      <c r="C127" s="355">
        <f>IF(A127="","",IFERROR(INDEX('Dashboard Items'!$E$2:$E$495,MATCH(A127,'Dashboard Items'!$A$2:$A$495,0)),"ID not found"))</f>
        <v/>
      </c>
      <c r="E127" s="355">
        <f>IF(D127="","",IFERROR(INDEX('Dashboard Items'!$C$2:$C$495,MATCH(D127,'Dashboard Items'!$A$2:$A$495,0)),"ID not found"))</f>
        <v/>
      </c>
      <c r="F127" s="355">
        <f>IF(D127="","",IFERROR(INDEX('Dashboard Items'!$F$2:$F$495,MATCH(D127,'Dashboard Items'!$A$2:$A$495,0)),"ID not found"))</f>
        <v/>
      </c>
    </row>
    <row r="128" ht="15" customHeight="1" s="210">
      <c r="B128" s="355">
        <f>IF(A128="","",IFERROR(INDEX('Dashboard Items'!$C$2:$C$495,MATCH(A128,'Dashboard Items'!$A$2:$A$495,0)),"ID not found"))</f>
        <v/>
      </c>
      <c r="C128" s="355">
        <f>IF(A128="","",IFERROR(INDEX('Dashboard Items'!$E$2:$E$495,MATCH(A128,'Dashboard Items'!$A$2:$A$495,0)),"ID not found"))</f>
        <v/>
      </c>
      <c r="E128" s="355">
        <f>IF(D128="","",IFERROR(INDEX('Dashboard Items'!$C$2:$C$495,MATCH(D128,'Dashboard Items'!$A$2:$A$495,0)),"ID not found"))</f>
        <v/>
      </c>
      <c r="F128" s="355">
        <f>IF(D128="","",IFERROR(INDEX('Dashboard Items'!$F$2:$F$495,MATCH(D128,'Dashboard Items'!$A$2:$A$495,0)),"ID not found"))</f>
        <v/>
      </c>
    </row>
    <row r="129" ht="15" customHeight="1" s="210">
      <c r="B129" s="355">
        <f>IF(A129="","",IFERROR(INDEX('Dashboard Items'!$C$2:$C$495,MATCH(A129,'Dashboard Items'!$A$2:$A$495,0)),"ID not found"))</f>
        <v/>
      </c>
      <c r="C129" s="355">
        <f>IF(A129="","",IFERROR(INDEX('Dashboard Items'!$E$2:$E$495,MATCH(A129,'Dashboard Items'!$A$2:$A$495,0)),"ID not found"))</f>
        <v/>
      </c>
      <c r="E129" s="355">
        <f>IF(D129="","",IFERROR(INDEX('Dashboard Items'!$C$2:$C$495,MATCH(D129,'Dashboard Items'!$A$2:$A$495,0)),"ID not found"))</f>
        <v/>
      </c>
      <c r="F129" s="355">
        <f>IF(D129="","",IFERROR(INDEX('Dashboard Items'!$F$2:$F$495,MATCH(D129,'Dashboard Items'!$A$2:$A$495,0)),"ID not found"))</f>
        <v/>
      </c>
    </row>
    <row r="130" ht="15" customHeight="1" s="210">
      <c r="B130" s="355">
        <f>IF(A130="","",IFERROR(INDEX('Dashboard Items'!$C$2:$C$495,MATCH(A130,'Dashboard Items'!$A$2:$A$495,0)),"ID not found"))</f>
        <v/>
      </c>
      <c r="C130" s="355">
        <f>IF(A130="","",IFERROR(INDEX('Dashboard Items'!$E$2:$E$495,MATCH(A130,'Dashboard Items'!$A$2:$A$495,0)),"ID not found"))</f>
        <v/>
      </c>
      <c r="E130" s="355">
        <f>IF(D130="","",IFERROR(INDEX('Dashboard Items'!$C$2:$C$495,MATCH(D130,'Dashboard Items'!$A$2:$A$495,0)),"ID not found"))</f>
        <v/>
      </c>
      <c r="F130" s="355">
        <f>IF(D130="","",IFERROR(INDEX('Dashboard Items'!$F$2:$F$495,MATCH(D130,'Dashboard Items'!$A$2:$A$495,0)),"ID not found"))</f>
        <v/>
      </c>
    </row>
    <row r="131" ht="15" customHeight="1" s="210">
      <c r="B131" s="355">
        <f>IF(A131="","",IFERROR(INDEX('Dashboard Items'!$C$2:$C$495,MATCH(A131,'Dashboard Items'!$A$2:$A$495,0)),"ID not found"))</f>
        <v/>
      </c>
      <c r="C131" s="355">
        <f>IF(A131="","",IFERROR(INDEX('Dashboard Items'!$E$2:$E$495,MATCH(A131,'Dashboard Items'!$A$2:$A$495,0)),"ID not found"))</f>
        <v/>
      </c>
      <c r="E131" s="355">
        <f>IF(D131="","",IFERROR(INDEX('Dashboard Items'!$C$2:$C$495,MATCH(D131,'Dashboard Items'!$A$2:$A$495,0)),"ID not found"))</f>
        <v/>
      </c>
      <c r="F131" s="355">
        <f>IF(D131="","",IFERROR(INDEX('Dashboard Items'!$F$2:$F$495,MATCH(D131,'Dashboard Items'!$A$2:$A$495,0)),"ID not found"))</f>
        <v/>
      </c>
    </row>
    <row r="132" ht="15" customHeight="1" s="210">
      <c r="B132" s="355">
        <f>IF(A132="","",IFERROR(INDEX('Dashboard Items'!$C$2:$C$495,MATCH(A132,'Dashboard Items'!$A$2:$A$495,0)),"ID not found"))</f>
        <v/>
      </c>
      <c r="C132" s="355">
        <f>IF(A132="","",IFERROR(INDEX('Dashboard Items'!$E$2:$E$495,MATCH(A132,'Dashboard Items'!$A$2:$A$495,0)),"ID not found"))</f>
        <v/>
      </c>
      <c r="E132" s="355">
        <f>IF(D132="","",IFERROR(INDEX('Dashboard Items'!$C$2:$C$495,MATCH(D132,'Dashboard Items'!$A$2:$A$495,0)),"ID not found"))</f>
        <v/>
      </c>
      <c r="F132" s="355">
        <f>IF(D132="","",IFERROR(INDEX('Dashboard Items'!$F$2:$F$495,MATCH(D132,'Dashboard Items'!$A$2:$A$495,0)),"ID not found"))</f>
        <v/>
      </c>
    </row>
    <row r="133" ht="15" customHeight="1" s="210">
      <c r="B133" s="355">
        <f>IF(A133="","",IFERROR(INDEX('Dashboard Items'!$C$2:$C$495,MATCH(A133,'Dashboard Items'!$A$2:$A$495,0)),"ID not found"))</f>
        <v/>
      </c>
      <c r="C133" s="355">
        <f>IF(A133="","",IFERROR(INDEX('Dashboard Items'!$E$2:$E$495,MATCH(A133,'Dashboard Items'!$A$2:$A$495,0)),"ID not found"))</f>
        <v/>
      </c>
      <c r="E133" s="355">
        <f>IF(D133="","",IFERROR(INDEX('Dashboard Items'!$C$2:$C$495,MATCH(D133,'Dashboard Items'!$A$2:$A$495,0)),"ID not found"))</f>
        <v/>
      </c>
      <c r="F133" s="355">
        <f>IF(D133="","",IFERROR(INDEX('Dashboard Items'!$F$2:$F$495,MATCH(D133,'Dashboard Items'!$A$2:$A$495,0)),"ID not found"))</f>
        <v/>
      </c>
    </row>
    <row r="134" ht="15" customHeight="1" s="210">
      <c r="B134" s="355">
        <f>IF(A134="","",IFERROR(INDEX('Dashboard Items'!$C$2:$C$495,MATCH(A134,'Dashboard Items'!$A$2:$A$495,0)),"ID not found"))</f>
        <v/>
      </c>
      <c r="C134" s="355">
        <f>IF(A134="","",IFERROR(INDEX('Dashboard Items'!$E$2:$E$495,MATCH(A134,'Dashboard Items'!$A$2:$A$495,0)),"ID not found"))</f>
        <v/>
      </c>
      <c r="E134" s="355">
        <f>IF(D134="","",IFERROR(INDEX('Dashboard Items'!$C$2:$C$495,MATCH(D134,'Dashboard Items'!$A$2:$A$495,0)),"ID not found"))</f>
        <v/>
      </c>
      <c r="F134" s="355">
        <f>IF(D134="","",IFERROR(INDEX('Dashboard Items'!$F$2:$F$495,MATCH(D134,'Dashboard Items'!$A$2:$A$495,0)),"ID not found"))</f>
        <v/>
      </c>
    </row>
    <row r="135" ht="15" customHeight="1" s="210">
      <c r="B135" s="355">
        <f>IF(A135="","",IFERROR(INDEX('Dashboard Items'!$C$2:$C$495,MATCH(A135,'Dashboard Items'!$A$2:$A$495,0)),"ID not found"))</f>
        <v/>
      </c>
      <c r="C135" s="355">
        <f>IF(A135="","",IFERROR(INDEX('Dashboard Items'!$E$2:$E$495,MATCH(A135,'Dashboard Items'!$A$2:$A$495,0)),"ID not found"))</f>
        <v/>
      </c>
      <c r="E135" s="355">
        <f>IF(D135="","",IFERROR(INDEX('Dashboard Items'!$C$2:$C$495,MATCH(D135,'Dashboard Items'!$A$2:$A$495,0)),"ID not found"))</f>
        <v/>
      </c>
      <c r="F135" s="355">
        <f>IF(D135="","",IFERROR(INDEX('Dashboard Items'!$F$2:$F$495,MATCH(D135,'Dashboard Items'!$A$2:$A$495,0)),"ID not found"))</f>
        <v/>
      </c>
    </row>
    <row r="136" ht="15" customHeight="1" s="210">
      <c r="B136" s="355">
        <f>IF(A136="","",IFERROR(INDEX('Dashboard Items'!$C$2:$C$495,MATCH(A136,'Dashboard Items'!$A$2:$A$495,0)),"ID not found"))</f>
        <v/>
      </c>
      <c r="C136" s="355">
        <f>IF(A136="","",IFERROR(INDEX('Dashboard Items'!$E$2:$E$495,MATCH(A136,'Dashboard Items'!$A$2:$A$495,0)),"ID not found"))</f>
        <v/>
      </c>
      <c r="E136" s="355">
        <f>IF(D136="","",IFERROR(INDEX('Dashboard Items'!$C$2:$C$495,MATCH(D136,'Dashboard Items'!$A$2:$A$495,0)),"ID not found"))</f>
        <v/>
      </c>
      <c r="F136" s="355">
        <f>IF(D136="","",IFERROR(INDEX('Dashboard Items'!$F$2:$F$495,MATCH(D136,'Dashboard Items'!$A$2:$A$495,0)),"ID not found"))</f>
        <v/>
      </c>
    </row>
    <row r="137" ht="15" customHeight="1" s="210">
      <c r="B137" s="355">
        <f>IF(A137="","",IFERROR(INDEX('Dashboard Items'!$C$2:$C$495,MATCH(A137,'Dashboard Items'!$A$2:$A$495,0)),"ID not found"))</f>
        <v/>
      </c>
      <c r="C137" s="355">
        <f>IF(A137="","",IFERROR(INDEX('Dashboard Items'!$E$2:$E$495,MATCH(A137,'Dashboard Items'!$A$2:$A$495,0)),"ID not found"))</f>
        <v/>
      </c>
      <c r="E137" s="355">
        <f>IF(D137="","",IFERROR(INDEX('Dashboard Items'!$C$2:$C$495,MATCH(D137,'Dashboard Items'!$A$2:$A$495,0)),"ID not found"))</f>
        <v/>
      </c>
      <c r="F137" s="355">
        <f>IF(D137="","",IFERROR(INDEX('Dashboard Items'!$F$2:$F$495,MATCH(D137,'Dashboard Items'!$A$2:$A$495,0)),"ID not found"))</f>
        <v/>
      </c>
    </row>
    <row r="138" ht="15" customHeight="1" s="210">
      <c r="B138" s="355">
        <f>IF(A138="","",IFERROR(INDEX('Dashboard Items'!$C$2:$C$495,MATCH(A138,'Dashboard Items'!$A$2:$A$495,0)),"ID not found"))</f>
        <v/>
      </c>
      <c r="C138" s="355">
        <f>IF(A138="","",IFERROR(INDEX('Dashboard Items'!$E$2:$E$495,MATCH(A138,'Dashboard Items'!$A$2:$A$495,0)),"ID not found"))</f>
        <v/>
      </c>
      <c r="E138" s="355">
        <f>IF(D138="","",IFERROR(INDEX('Dashboard Items'!$C$2:$C$495,MATCH(D138,'Dashboard Items'!$A$2:$A$495,0)),"ID not found"))</f>
        <v/>
      </c>
      <c r="F138" s="355">
        <f>IF(D138="","",IFERROR(INDEX('Dashboard Items'!$F$2:$F$495,MATCH(D138,'Dashboard Items'!$A$2:$A$495,0)),"ID not found"))</f>
        <v/>
      </c>
    </row>
    <row r="139" ht="15" customHeight="1" s="210">
      <c r="B139" s="355">
        <f>IF(A139="","",IFERROR(INDEX('Dashboard Items'!$C$2:$C$495,MATCH(A139,'Dashboard Items'!$A$2:$A$495,0)),"ID not found"))</f>
        <v/>
      </c>
      <c r="C139" s="355">
        <f>IF(A139="","",IFERROR(INDEX('Dashboard Items'!$E$2:$E$495,MATCH(A139,'Dashboard Items'!$A$2:$A$495,0)),"ID not found"))</f>
        <v/>
      </c>
      <c r="E139" s="355">
        <f>IF(D139="","",IFERROR(INDEX('Dashboard Items'!$C$2:$C$495,MATCH(D139,'Dashboard Items'!$A$2:$A$495,0)),"ID not found"))</f>
        <v/>
      </c>
      <c r="F139" s="355">
        <f>IF(D139="","",IFERROR(INDEX('Dashboard Items'!$F$2:$F$495,MATCH(D139,'Dashboard Items'!$A$2:$A$495,0)),"ID not found"))</f>
        <v/>
      </c>
    </row>
    <row r="140" ht="15" customHeight="1" s="210">
      <c r="B140" s="355">
        <f>IF(A140="","",IFERROR(INDEX('Dashboard Items'!$C$2:$C$495,MATCH(A140,'Dashboard Items'!$A$2:$A$495,0)),"ID not found"))</f>
        <v/>
      </c>
      <c r="C140" s="355">
        <f>IF(A140="","",IFERROR(INDEX('Dashboard Items'!$E$2:$E$495,MATCH(A140,'Dashboard Items'!$A$2:$A$495,0)),"ID not found"))</f>
        <v/>
      </c>
      <c r="E140" s="355">
        <f>IF(D140="","",IFERROR(INDEX('Dashboard Items'!$C$2:$C$495,MATCH(D140,'Dashboard Items'!$A$2:$A$495,0)),"ID not found"))</f>
        <v/>
      </c>
      <c r="F140" s="355">
        <f>IF(D140="","",IFERROR(INDEX('Dashboard Items'!$F$2:$F$495,MATCH(D140,'Dashboard Items'!$A$2:$A$495,0)),"ID not found"))</f>
        <v/>
      </c>
    </row>
    <row r="141" ht="15" customHeight="1" s="210">
      <c r="B141" s="355">
        <f>IF(A141="","",IFERROR(INDEX('Dashboard Items'!$C$2:$C$495,MATCH(A141,'Dashboard Items'!$A$2:$A$495,0)),"ID not found"))</f>
        <v/>
      </c>
      <c r="C141" s="355">
        <f>IF(A141="","",IFERROR(INDEX('Dashboard Items'!$E$2:$E$495,MATCH(A141,'Dashboard Items'!$A$2:$A$495,0)),"ID not found"))</f>
        <v/>
      </c>
      <c r="E141" s="355">
        <f>IF(D141="","",IFERROR(INDEX('Dashboard Items'!$C$2:$C$495,MATCH(D141,'Dashboard Items'!$A$2:$A$495,0)),"ID not found"))</f>
        <v/>
      </c>
      <c r="F141" s="355">
        <f>IF(D141="","",IFERROR(INDEX('Dashboard Items'!$F$2:$F$495,MATCH(D141,'Dashboard Items'!$A$2:$A$495,0)),"ID not found"))</f>
        <v/>
      </c>
    </row>
    <row r="142" ht="15" customHeight="1" s="210">
      <c r="B142" s="355">
        <f>IF(A142="","",IFERROR(INDEX('Dashboard Items'!$C$2:$C$495,MATCH(A142,'Dashboard Items'!$A$2:$A$495,0)),"ID not found"))</f>
        <v/>
      </c>
      <c r="C142" s="355">
        <f>IF(A142="","",IFERROR(INDEX('Dashboard Items'!$E$2:$E$495,MATCH(A142,'Dashboard Items'!$A$2:$A$495,0)),"ID not found"))</f>
        <v/>
      </c>
      <c r="E142" s="355">
        <f>IF(D142="","",IFERROR(INDEX('Dashboard Items'!$C$2:$C$495,MATCH(D142,'Dashboard Items'!$A$2:$A$495,0)),"ID not found"))</f>
        <v/>
      </c>
      <c r="F142" s="355">
        <f>IF(D142="","",IFERROR(INDEX('Dashboard Items'!$F$2:$F$495,MATCH(D142,'Dashboard Items'!$A$2:$A$495,0)),"ID not found"))</f>
        <v/>
      </c>
    </row>
    <row r="143" ht="15" customHeight="1" s="210">
      <c r="B143" s="355">
        <f>IF(A143="","",IFERROR(INDEX('Dashboard Items'!$C$2:$C$495,MATCH(A143,'Dashboard Items'!$A$2:$A$495,0)),"ID not found"))</f>
        <v/>
      </c>
      <c r="C143" s="355">
        <f>IF(A143="","",IFERROR(INDEX('Dashboard Items'!$E$2:$E$495,MATCH(A143,'Dashboard Items'!$A$2:$A$495,0)),"ID not found"))</f>
        <v/>
      </c>
      <c r="E143" s="355">
        <f>IF(D143="","",IFERROR(INDEX('Dashboard Items'!$C$2:$C$495,MATCH(D143,'Dashboard Items'!$A$2:$A$495,0)),"ID not found"))</f>
        <v/>
      </c>
      <c r="F143" s="355">
        <f>IF(D143="","",IFERROR(INDEX('Dashboard Items'!$F$2:$F$495,MATCH(D143,'Dashboard Items'!$A$2:$A$495,0)),"ID not found"))</f>
        <v/>
      </c>
    </row>
    <row r="144" ht="15" customHeight="1" s="210">
      <c r="B144" s="355">
        <f>IF(A144="","",IFERROR(INDEX('Dashboard Items'!$C$2:$C$495,MATCH(A144,'Dashboard Items'!$A$2:$A$495,0)),"ID not found"))</f>
        <v/>
      </c>
      <c r="C144" s="355">
        <f>IF(A144="","",IFERROR(INDEX('Dashboard Items'!$E$2:$E$495,MATCH(A144,'Dashboard Items'!$A$2:$A$495,0)),"ID not found"))</f>
        <v/>
      </c>
      <c r="E144" s="355">
        <f>IF(D144="","",IFERROR(INDEX('Dashboard Items'!$C$2:$C$495,MATCH(D144,'Dashboard Items'!$A$2:$A$495,0)),"ID not found"))</f>
        <v/>
      </c>
      <c r="F144" s="355">
        <f>IF(D144="","",IFERROR(INDEX('Dashboard Items'!$F$2:$F$495,MATCH(D144,'Dashboard Items'!$A$2:$A$495,0)),"ID not found"))</f>
        <v/>
      </c>
    </row>
    <row r="145" ht="15" customHeight="1" s="210">
      <c r="B145" s="355">
        <f>IF(A145="","",IFERROR(INDEX('Dashboard Items'!$C$2:$C$495,MATCH(A145,'Dashboard Items'!$A$2:$A$495,0)),"ID not found"))</f>
        <v/>
      </c>
      <c r="C145" s="355">
        <f>IF(A145="","",IFERROR(INDEX('Dashboard Items'!$E$2:$E$495,MATCH(A145,'Dashboard Items'!$A$2:$A$495,0)),"ID not found"))</f>
        <v/>
      </c>
      <c r="E145" s="355">
        <f>IF(D145="","",IFERROR(INDEX('Dashboard Items'!$C$2:$C$495,MATCH(D145,'Dashboard Items'!$A$2:$A$495,0)),"ID not found"))</f>
        <v/>
      </c>
      <c r="F145" s="355">
        <f>IF(D145="","",IFERROR(INDEX('Dashboard Items'!$F$2:$F$495,MATCH(D145,'Dashboard Items'!$A$2:$A$495,0)),"ID not found"))</f>
        <v/>
      </c>
    </row>
    <row r="146" ht="15" customHeight="1" s="210">
      <c r="B146" s="355">
        <f>IF(A146="","",IFERROR(INDEX('Dashboard Items'!$C$2:$C$495,MATCH(A146,'Dashboard Items'!$A$2:$A$495,0)),"ID not found"))</f>
        <v/>
      </c>
      <c r="C146" s="355">
        <f>IF(A146="","",IFERROR(INDEX('Dashboard Items'!$E$2:$E$495,MATCH(A146,'Dashboard Items'!$A$2:$A$495,0)),"ID not found"))</f>
        <v/>
      </c>
      <c r="E146" s="355">
        <f>IF(D146="","",IFERROR(INDEX('Dashboard Items'!$C$2:$C$495,MATCH(D146,'Dashboard Items'!$A$2:$A$495,0)),"ID not found"))</f>
        <v/>
      </c>
      <c r="F146" s="355">
        <f>IF(D146="","",IFERROR(INDEX('Dashboard Items'!$F$2:$F$495,MATCH(D146,'Dashboard Items'!$A$2:$A$495,0)),"ID not found"))</f>
        <v/>
      </c>
    </row>
    <row r="147" ht="15" customHeight="1" s="210">
      <c r="B147" s="355">
        <f>IF(A147="","",IFERROR(INDEX('Dashboard Items'!$C$2:$C$495,MATCH(A147,'Dashboard Items'!$A$2:$A$495,0)),"ID not found"))</f>
        <v/>
      </c>
      <c r="C147" s="355">
        <f>IF(A147="","",IFERROR(INDEX('Dashboard Items'!$E$2:$E$495,MATCH(A147,'Dashboard Items'!$A$2:$A$495,0)),"ID not found"))</f>
        <v/>
      </c>
      <c r="E147" s="355">
        <f>IF(D147="","",IFERROR(INDEX('Dashboard Items'!$C$2:$C$495,MATCH(D147,'Dashboard Items'!$A$2:$A$495,0)),"ID not found"))</f>
        <v/>
      </c>
      <c r="F147" s="355">
        <f>IF(D147="","",IFERROR(INDEX('Dashboard Items'!$F$2:$F$495,MATCH(D147,'Dashboard Items'!$A$2:$A$495,0)),"ID not found"))</f>
        <v/>
      </c>
    </row>
    <row r="148" ht="15" customHeight="1" s="210">
      <c r="B148" s="355">
        <f>IF(A148="","",IFERROR(INDEX('Dashboard Items'!$C$2:$C$495,MATCH(A148,'Dashboard Items'!$A$2:$A$495,0)),"ID not found"))</f>
        <v/>
      </c>
      <c r="C148" s="355">
        <f>IF(A148="","",IFERROR(INDEX('Dashboard Items'!$E$2:$E$495,MATCH(A148,'Dashboard Items'!$A$2:$A$495,0)),"ID not found"))</f>
        <v/>
      </c>
      <c r="E148" s="355">
        <f>IF(D148="","",IFERROR(INDEX('Dashboard Items'!$C$2:$C$495,MATCH(D148,'Dashboard Items'!$A$2:$A$495,0)),"ID not found"))</f>
        <v/>
      </c>
      <c r="F148" s="355">
        <f>IF(D148="","",IFERROR(INDEX('Dashboard Items'!$F$2:$F$495,MATCH(D148,'Dashboard Items'!$A$2:$A$495,0)),"ID not found"))</f>
        <v/>
      </c>
    </row>
    <row r="149" ht="15" customHeight="1" s="210">
      <c r="B149" s="355">
        <f>IF(A149="","",IFERROR(INDEX('Dashboard Items'!$C$2:$C$495,MATCH(A149,'Dashboard Items'!$A$2:$A$495,0)),"ID not found"))</f>
        <v/>
      </c>
      <c r="C149" s="355">
        <f>IF(A149="","",IFERROR(INDEX('Dashboard Items'!$E$2:$E$495,MATCH(A149,'Dashboard Items'!$A$2:$A$495,0)),"ID not found"))</f>
        <v/>
      </c>
      <c r="E149" s="355">
        <f>IF(D149="","",IFERROR(INDEX('Dashboard Items'!$C$2:$C$495,MATCH(D149,'Dashboard Items'!$A$2:$A$495,0)),"ID not found"))</f>
        <v/>
      </c>
      <c r="F149" s="355">
        <f>IF(D149="","",IFERROR(INDEX('Dashboard Items'!$F$2:$F$495,MATCH(D149,'Dashboard Items'!$A$2:$A$495,0)),"ID not found"))</f>
        <v/>
      </c>
    </row>
    <row r="150" ht="15" customHeight="1" s="210">
      <c r="B150" s="355">
        <f>IF(A150="","",IFERROR(INDEX('Dashboard Items'!$C$2:$C$495,MATCH(A150,'Dashboard Items'!$A$2:$A$495,0)),"ID not found"))</f>
        <v/>
      </c>
      <c r="C150" s="355">
        <f>IF(A150="","",IFERROR(INDEX('Dashboard Items'!$E$2:$E$495,MATCH(A150,'Dashboard Items'!$A$2:$A$495,0)),"ID not found"))</f>
        <v/>
      </c>
      <c r="E150" s="355">
        <f>IF(D150="","",IFERROR(INDEX('Dashboard Items'!$C$2:$C$495,MATCH(D150,'Dashboard Items'!$A$2:$A$495,0)),"ID not found"))</f>
        <v/>
      </c>
      <c r="F150" s="355">
        <f>IF(D150="","",IFERROR(INDEX('Dashboard Items'!$F$2:$F$495,MATCH(D150,'Dashboard Items'!$A$2:$A$495,0)),"ID not found"))</f>
        <v/>
      </c>
    </row>
    <row r="151" ht="15" customHeight="1" s="210">
      <c r="B151" s="355">
        <f>IF(A151="","",IFERROR(INDEX('Dashboard Items'!$C$2:$C$495,MATCH(A151,'Dashboard Items'!$A$2:$A$495,0)),"ID not found"))</f>
        <v/>
      </c>
      <c r="C151" s="355">
        <f>IF(A151="","",IFERROR(INDEX('Dashboard Items'!$E$2:$E$495,MATCH(A151,'Dashboard Items'!$A$2:$A$495,0)),"ID not found"))</f>
        <v/>
      </c>
      <c r="E151" s="355">
        <f>IF(D151="","",IFERROR(INDEX('Dashboard Items'!$C$2:$C$495,MATCH(D151,'Dashboard Items'!$A$2:$A$495,0)),"ID not found"))</f>
        <v/>
      </c>
      <c r="F151" s="355">
        <f>IF(D151="","",IFERROR(INDEX('Dashboard Items'!$F$2:$F$495,MATCH(D151,'Dashboard Items'!$A$2:$A$495,0)),"ID not found"))</f>
        <v/>
      </c>
    </row>
    <row r="152" ht="15" customHeight="1" s="210">
      <c r="B152" s="355">
        <f>IF(A152="","",IFERROR(INDEX('Dashboard Items'!$C$2:$C$495,MATCH(A152,'Dashboard Items'!$A$2:$A$495,0)),"ID not found"))</f>
        <v/>
      </c>
      <c r="C152" s="355">
        <f>IF(A152="","",IFERROR(INDEX('Dashboard Items'!$E$2:$E$495,MATCH(A152,'Dashboard Items'!$A$2:$A$495,0)),"ID not found"))</f>
        <v/>
      </c>
      <c r="E152" s="355">
        <f>IF(D152="","",IFERROR(INDEX('Dashboard Items'!$C$2:$C$495,MATCH(D152,'Dashboard Items'!$A$2:$A$495,0)),"ID not found"))</f>
        <v/>
      </c>
      <c r="F152" s="355">
        <f>IF(D152="","",IFERROR(INDEX('Dashboard Items'!$F$2:$F$495,MATCH(D152,'Dashboard Items'!$A$2:$A$495,0)),"ID not found"))</f>
        <v/>
      </c>
    </row>
    <row r="153" ht="15" customHeight="1" s="210">
      <c r="B153" s="355">
        <f>IF(A153="","",IFERROR(INDEX('Dashboard Items'!$C$2:$C$495,MATCH(A153,'Dashboard Items'!$A$2:$A$495,0)),"ID not found"))</f>
        <v/>
      </c>
      <c r="C153" s="355">
        <f>IF(A153="","",IFERROR(INDEX('Dashboard Items'!$E$2:$E$495,MATCH(A153,'Dashboard Items'!$A$2:$A$495,0)),"ID not found"))</f>
        <v/>
      </c>
      <c r="E153" s="355">
        <f>IF(D153="","",IFERROR(INDEX('Dashboard Items'!$C$2:$C$495,MATCH(D153,'Dashboard Items'!$A$2:$A$495,0)),"ID not found"))</f>
        <v/>
      </c>
      <c r="F153" s="355">
        <f>IF(D153="","",IFERROR(INDEX('Dashboard Items'!$F$2:$F$495,MATCH(D153,'Dashboard Items'!$A$2:$A$495,0)),"ID not found"))</f>
        <v/>
      </c>
    </row>
    <row r="154" ht="15" customHeight="1" s="210">
      <c r="B154" s="355">
        <f>IF(A154="","",IFERROR(INDEX('Dashboard Items'!$C$2:$C$495,MATCH(A154,'Dashboard Items'!$A$2:$A$495,0)),"ID not found"))</f>
        <v/>
      </c>
      <c r="C154" s="355">
        <f>IF(A154="","",IFERROR(INDEX('Dashboard Items'!$E$2:$E$495,MATCH(A154,'Dashboard Items'!$A$2:$A$495,0)),"ID not found"))</f>
        <v/>
      </c>
      <c r="E154" s="355">
        <f>IF(D154="","",IFERROR(INDEX('Dashboard Items'!$C$2:$C$495,MATCH(D154,'Dashboard Items'!$A$2:$A$495,0)),"ID not found"))</f>
        <v/>
      </c>
      <c r="F154" s="355">
        <f>IF(D154="","",IFERROR(INDEX('Dashboard Items'!$F$2:$F$495,MATCH(D154,'Dashboard Items'!$A$2:$A$495,0)),"ID not found"))</f>
        <v/>
      </c>
    </row>
    <row r="155" ht="15" customHeight="1" s="210">
      <c r="B155" s="355">
        <f>IF(A155="","",IFERROR(INDEX('Dashboard Items'!$C$2:$C$495,MATCH(A155,'Dashboard Items'!$A$2:$A$495,0)),"ID not found"))</f>
        <v/>
      </c>
      <c r="C155" s="355">
        <f>IF(A155="","",IFERROR(INDEX('Dashboard Items'!$E$2:$E$495,MATCH(A155,'Dashboard Items'!$A$2:$A$495,0)),"ID not found"))</f>
        <v/>
      </c>
      <c r="E155" s="355">
        <f>IF(D155="","",IFERROR(INDEX('Dashboard Items'!$C$2:$C$495,MATCH(D155,'Dashboard Items'!$A$2:$A$495,0)),"ID not found"))</f>
        <v/>
      </c>
      <c r="F155" s="355">
        <f>IF(D155="","",IFERROR(INDEX('Dashboard Items'!$F$2:$F$495,MATCH(D155,'Dashboard Items'!$A$2:$A$495,0)),"ID not found"))</f>
        <v/>
      </c>
    </row>
    <row r="156" ht="15" customHeight="1" s="210">
      <c r="B156" s="355">
        <f>IF(A156="","",IFERROR(INDEX('Dashboard Items'!$C$2:$C$495,MATCH(A156,'Dashboard Items'!$A$2:$A$495,0)),"ID not found"))</f>
        <v/>
      </c>
      <c r="C156" s="355">
        <f>IF(A156="","",IFERROR(INDEX('Dashboard Items'!$E$2:$E$495,MATCH(A156,'Dashboard Items'!$A$2:$A$495,0)),"ID not found"))</f>
        <v/>
      </c>
      <c r="E156" s="355">
        <f>IF(D156="","",IFERROR(INDEX('Dashboard Items'!$C$2:$C$495,MATCH(D156,'Dashboard Items'!$A$2:$A$495,0)),"ID not found"))</f>
        <v/>
      </c>
      <c r="F156" s="355">
        <f>IF(D156="","",IFERROR(INDEX('Dashboard Items'!$F$2:$F$495,MATCH(D156,'Dashboard Items'!$A$2:$A$495,0)),"ID not found"))</f>
        <v/>
      </c>
    </row>
    <row r="157" ht="15" customHeight="1" s="210">
      <c r="B157" s="355">
        <f>IF(A157="","",IFERROR(INDEX('Dashboard Items'!$C$2:$C$495,MATCH(A157,'Dashboard Items'!$A$2:$A$495,0)),"ID not found"))</f>
        <v/>
      </c>
      <c r="C157" s="355">
        <f>IF(A157="","",IFERROR(INDEX('Dashboard Items'!$E$2:$E$495,MATCH(A157,'Dashboard Items'!$A$2:$A$495,0)),"ID not found"))</f>
        <v/>
      </c>
      <c r="E157" s="355">
        <f>IF(D157="","",IFERROR(INDEX('Dashboard Items'!$C$2:$C$495,MATCH(D157,'Dashboard Items'!$A$2:$A$495,0)),"ID not found"))</f>
        <v/>
      </c>
      <c r="F157" s="355">
        <f>IF(D157="","",IFERROR(INDEX('Dashboard Items'!$F$2:$F$495,MATCH(D157,'Dashboard Items'!$A$2:$A$495,0)),"ID not found"))</f>
        <v/>
      </c>
    </row>
    <row r="158" ht="15" customHeight="1" s="210">
      <c r="B158" s="355">
        <f>IF(A158="","",IFERROR(INDEX('Dashboard Items'!$C$2:$C$495,MATCH(A158,'Dashboard Items'!$A$2:$A$495,0)),"ID not found"))</f>
        <v/>
      </c>
      <c r="C158" s="355">
        <f>IF(A158="","",IFERROR(INDEX('Dashboard Items'!$E$2:$E$495,MATCH(A158,'Dashboard Items'!$A$2:$A$495,0)),"ID not found"))</f>
        <v/>
      </c>
      <c r="E158" s="355">
        <f>IF(D158="","",IFERROR(INDEX('Dashboard Items'!$C$2:$C$495,MATCH(D158,'Dashboard Items'!$A$2:$A$495,0)),"ID not found"))</f>
        <v/>
      </c>
      <c r="F158" s="355">
        <f>IF(D158="","",IFERROR(INDEX('Dashboard Items'!$F$2:$F$495,MATCH(D158,'Dashboard Items'!$A$2:$A$495,0)),"ID not found"))</f>
        <v/>
      </c>
    </row>
    <row r="159" ht="15" customHeight="1" s="210">
      <c r="B159" s="355">
        <f>IF(A159="","",IFERROR(INDEX('Dashboard Items'!$C$2:$C$495,MATCH(A159,'Dashboard Items'!$A$2:$A$495,0)),"ID not found"))</f>
        <v/>
      </c>
      <c r="C159" s="355">
        <f>IF(A159="","",IFERROR(INDEX('Dashboard Items'!$E$2:$E$495,MATCH(A159,'Dashboard Items'!$A$2:$A$495,0)),"ID not found"))</f>
        <v/>
      </c>
      <c r="E159" s="355">
        <f>IF(D159="","",IFERROR(INDEX('Dashboard Items'!$C$2:$C$495,MATCH(D159,'Dashboard Items'!$A$2:$A$495,0)),"ID not found"))</f>
        <v/>
      </c>
      <c r="F159" s="355">
        <f>IF(D159="","",IFERROR(INDEX('Dashboard Items'!$F$2:$F$495,MATCH(D159,'Dashboard Items'!$A$2:$A$495,0)),"ID not found"))</f>
        <v/>
      </c>
    </row>
    <row r="160" ht="15" customHeight="1" s="210">
      <c r="B160" s="355">
        <f>IF(A160="","",IFERROR(INDEX('Dashboard Items'!$C$2:$C$495,MATCH(A160,'Dashboard Items'!$A$2:$A$495,0)),"ID not found"))</f>
        <v/>
      </c>
      <c r="C160" s="355">
        <f>IF(A160="","",IFERROR(INDEX('Dashboard Items'!$E$2:$E$495,MATCH(A160,'Dashboard Items'!$A$2:$A$495,0)),"ID not found"))</f>
        <v/>
      </c>
      <c r="E160" s="355">
        <f>IF(D160="","",IFERROR(INDEX('Dashboard Items'!$C$2:$C$495,MATCH(D160,'Dashboard Items'!$A$2:$A$495,0)),"ID not found"))</f>
        <v/>
      </c>
      <c r="F160" s="355">
        <f>IF(D160="","",IFERROR(INDEX('Dashboard Items'!$F$2:$F$495,MATCH(D160,'Dashboard Items'!$A$2:$A$495,0)),"ID not found"))</f>
        <v/>
      </c>
    </row>
    <row r="161" ht="15" customHeight="1" s="210">
      <c r="B161" s="355">
        <f>IF(A161="","",IFERROR(INDEX('Dashboard Items'!$C$2:$C$495,MATCH(A161,'Dashboard Items'!$A$2:$A$495,0)),"ID not found"))</f>
        <v/>
      </c>
      <c r="C161" s="355">
        <f>IF(A161="","",IFERROR(INDEX('Dashboard Items'!$E$2:$E$495,MATCH(A161,'Dashboard Items'!$A$2:$A$495,0)),"ID not found"))</f>
        <v/>
      </c>
      <c r="E161" s="355">
        <f>IF(D161="","",IFERROR(INDEX('Dashboard Items'!$C$2:$C$495,MATCH(D161,'Dashboard Items'!$A$2:$A$495,0)),"ID not found"))</f>
        <v/>
      </c>
      <c r="F161" s="355">
        <f>IF(D161="","",IFERROR(INDEX('Dashboard Items'!$F$2:$F$495,MATCH(D161,'Dashboard Items'!$A$2:$A$495,0)),"ID not found"))</f>
        <v/>
      </c>
    </row>
    <row r="162" ht="15" customHeight="1" s="210">
      <c r="B162" s="355">
        <f>IF(A162="","",IFERROR(INDEX('Dashboard Items'!$C$2:$C$495,MATCH(A162,'Dashboard Items'!$A$2:$A$495,0)),"ID not found"))</f>
        <v/>
      </c>
      <c r="C162" s="355">
        <f>IF(A162="","",IFERROR(INDEX('Dashboard Items'!$E$2:$E$495,MATCH(A162,'Dashboard Items'!$A$2:$A$495,0)),"ID not found"))</f>
        <v/>
      </c>
      <c r="E162" s="355">
        <f>IF(D162="","",IFERROR(INDEX('Dashboard Items'!$C$2:$C$495,MATCH(D162,'Dashboard Items'!$A$2:$A$495,0)),"ID not found"))</f>
        <v/>
      </c>
      <c r="F162" s="355">
        <f>IF(D162="","",IFERROR(INDEX('Dashboard Items'!$F$2:$F$495,MATCH(D162,'Dashboard Items'!$A$2:$A$495,0)),"ID not found"))</f>
        <v/>
      </c>
    </row>
    <row r="163" ht="15" customHeight="1" s="210">
      <c r="B163" s="355">
        <f>IF(A163="","",IFERROR(INDEX('Dashboard Items'!$C$2:$C$495,MATCH(A163,'Dashboard Items'!$A$2:$A$495,0)),"ID not found"))</f>
        <v/>
      </c>
      <c r="C163" s="355">
        <f>IF(A163="","",IFERROR(INDEX('Dashboard Items'!$E$2:$E$495,MATCH(A163,'Dashboard Items'!$A$2:$A$495,0)),"ID not found"))</f>
        <v/>
      </c>
      <c r="E163" s="355">
        <f>IF(D163="","",IFERROR(INDEX('Dashboard Items'!$C$2:$C$495,MATCH(D163,'Dashboard Items'!$A$2:$A$495,0)),"ID not found"))</f>
        <v/>
      </c>
      <c r="F163" s="355">
        <f>IF(D163="","",IFERROR(INDEX('Dashboard Items'!$F$2:$F$495,MATCH(D163,'Dashboard Items'!$A$2:$A$495,0)),"ID not found"))</f>
        <v/>
      </c>
    </row>
    <row r="164" ht="15" customHeight="1" s="210">
      <c r="B164" s="355">
        <f>IF(A164="","",IFERROR(INDEX('Dashboard Items'!$C$2:$C$495,MATCH(A164,'Dashboard Items'!$A$2:$A$495,0)),"ID not found"))</f>
        <v/>
      </c>
      <c r="C164" s="355">
        <f>IF(A164="","",IFERROR(INDEX('Dashboard Items'!$E$2:$E$495,MATCH(A164,'Dashboard Items'!$A$2:$A$495,0)),"ID not found"))</f>
        <v/>
      </c>
      <c r="E164" s="355">
        <f>IF(D164="","",IFERROR(INDEX('Dashboard Items'!$C$2:$C$495,MATCH(D164,'Dashboard Items'!$A$2:$A$495,0)),"ID not found"))</f>
        <v/>
      </c>
      <c r="F164" s="355">
        <f>IF(D164="","",IFERROR(INDEX('Dashboard Items'!$F$2:$F$495,MATCH(D164,'Dashboard Items'!$A$2:$A$495,0)),"ID not found"))</f>
        <v/>
      </c>
    </row>
    <row r="165" ht="15" customHeight="1" s="210">
      <c r="B165" s="355">
        <f>IF(A165="","",IFERROR(INDEX('Dashboard Items'!$C$2:$C$495,MATCH(A165,'Dashboard Items'!$A$2:$A$495,0)),"ID not found"))</f>
        <v/>
      </c>
      <c r="C165" s="355">
        <f>IF(A165="","",IFERROR(INDEX('Dashboard Items'!$E$2:$E$495,MATCH(A165,'Dashboard Items'!$A$2:$A$495,0)),"ID not found"))</f>
        <v/>
      </c>
      <c r="E165" s="355">
        <f>IF(D165="","",IFERROR(INDEX('Dashboard Items'!$C$2:$C$495,MATCH(D165,'Dashboard Items'!$A$2:$A$495,0)),"ID not found"))</f>
        <v/>
      </c>
      <c r="F165" s="355">
        <f>IF(D165="","",IFERROR(INDEX('Dashboard Items'!$F$2:$F$495,MATCH(D165,'Dashboard Items'!$A$2:$A$495,0)),"ID not found"))</f>
        <v/>
      </c>
    </row>
    <row r="166" ht="15" customHeight="1" s="210">
      <c r="B166" s="355">
        <f>IF(A166="","",IFERROR(INDEX('Dashboard Items'!$C$2:$C$495,MATCH(A166,'Dashboard Items'!$A$2:$A$495,0)),"ID not found"))</f>
        <v/>
      </c>
      <c r="C166" s="355">
        <f>IF(A166="","",IFERROR(INDEX('Dashboard Items'!$E$2:$E$495,MATCH(A166,'Dashboard Items'!$A$2:$A$495,0)),"ID not found"))</f>
        <v/>
      </c>
      <c r="E166" s="355">
        <f>IF(D166="","",IFERROR(INDEX('Dashboard Items'!$C$2:$C$495,MATCH(D166,'Dashboard Items'!$A$2:$A$495,0)),"ID not found"))</f>
        <v/>
      </c>
      <c r="F166" s="355">
        <f>IF(D166="","",IFERROR(INDEX('Dashboard Items'!$F$2:$F$495,MATCH(D166,'Dashboard Items'!$A$2:$A$495,0)),"ID not found"))</f>
        <v/>
      </c>
    </row>
    <row r="167" ht="15" customHeight="1" s="210">
      <c r="B167" s="355">
        <f>IF(A167="","",IFERROR(INDEX('Dashboard Items'!$C$2:$C$495,MATCH(A167,'Dashboard Items'!$A$2:$A$495,0)),"ID not found"))</f>
        <v/>
      </c>
      <c r="C167" s="355">
        <f>IF(A167="","",IFERROR(INDEX('Dashboard Items'!$E$2:$E$495,MATCH(A167,'Dashboard Items'!$A$2:$A$495,0)),"ID not found"))</f>
        <v/>
      </c>
      <c r="E167" s="355">
        <f>IF(D167="","",IFERROR(INDEX('Dashboard Items'!$C$2:$C$495,MATCH(D167,'Dashboard Items'!$A$2:$A$495,0)),"ID not found"))</f>
        <v/>
      </c>
      <c r="F167" s="355">
        <f>IF(D167="","",IFERROR(INDEX('Dashboard Items'!$F$2:$F$495,MATCH(D167,'Dashboard Items'!$A$2:$A$495,0)),"ID not found"))</f>
        <v/>
      </c>
    </row>
    <row r="168" ht="15" customHeight="1" s="210">
      <c r="B168" s="355">
        <f>IF(A168="","",IFERROR(INDEX('Dashboard Items'!$C$2:$C$495,MATCH(A168,'Dashboard Items'!$A$2:$A$495,0)),"ID not found"))</f>
        <v/>
      </c>
      <c r="C168" s="355">
        <f>IF(A168="","",IFERROR(INDEX('Dashboard Items'!$E$2:$E$495,MATCH(A168,'Dashboard Items'!$A$2:$A$495,0)),"ID not found"))</f>
        <v/>
      </c>
      <c r="E168" s="355">
        <f>IF(D168="","",IFERROR(INDEX('Dashboard Items'!$C$2:$C$495,MATCH(D168,'Dashboard Items'!$A$2:$A$495,0)),"ID not found"))</f>
        <v/>
      </c>
      <c r="F168" s="355">
        <f>IF(D168="","",IFERROR(INDEX('Dashboard Items'!$F$2:$F$495,MATCH(D168,'Dashboard Items'!$A$2:$A$495,0)),"ID not found"))</f>
        <v/>
      </c>
    </row>
    <row r="169" ht="15" customHeight="1" s="210">
      <c r="B169" s="355">
        <f>IF(A169="","",IFERROR(INDEX('Dashboard Items'!$C$2:$C$495,MATCH(A169,'Dashboard Items'!$A$2:$A$495,0)),"ID not found"))</f>
        <v/>
      </c>
      <c r="C169" s="355">
        <f>IF(A169="","",IFERROR(INDEX('Dashboard Items'!$E$2:$E$495,MATCH(A169,'Dashboard Items'!$A$2:$A$495,0)),"ID not found"))</f>
        <v/>
      </c>
      <c r="E169" s="355">
        <f>IF(D169="","",IFERROR(INDEX('Dashboard Items'!$C$2:$C$495,MATCH(D169,'Dashboard Items'!$A$2:$A$495,0)),"ID not found"))</f>
        <v/>
      </c>
      <c r="F169" s="355">
        <f>IF(D169="","",IFERROR(INDEX('Dashboard Items'!$F$2:$F$495,MATCH(D169,'Dashboard Items'!$A$2:$A$495,0)),"ID not found"))</f>
        <v/>
      </c>
    </row>
    <row r="170" ht="15" customHeight="1" s="210">
      <c r="B170" s="355">
        <f>IF(A170="","",IFERROR(INDEX('Dashboard Items'!$C$2:$C$495,MATCH(A170,'Dashboard Items'!$A$2:$A$495,0)),"ID not found"))</f>
        <v/>
      </c>
      <c r="C170" s="355">
        <f>IF(A170="","",IFERROR(INDEX('Dashboard Items'!$E$2:$E$495,MATCH(A170,'Dashboard Items'!$A$2:$A$495,0)),"ID not found"))</f>
        <v/>
      </c>
      <c r="E170" s="355">
        <f>IF(D170="","",IFERROR(INDEX('Dashboard Items'!$C$2:$C$495,MATCH(D170,'Dashboard Items'!$A$2:$A$495,0)),"ID not found"))</f>
        <v/>
      </c>
      <c r="F170" s="355">
        <f>IF(D170="","",IFERROR(INDEX('Dashboard Items'!$F$2:$F$495,MATCH(D170,'Dashboard Items'!$A$2:$A$495,0)),"ID not found"))</f>
        <v/>
      </c>
    </row>
    <row r="171" ht="15" customHeight="1" s="210">
      <c r="B171" s="355">
        <f>IF(A171="","",IFERROR(INDEX('Dashboard Items'!$C$2:$C$495,MATCH(A171,'Dashboard Items'!$A$2:$A$495,0)),"ID not found"))</f>
        <v/>
      </c>
      <c r="C171" s="355">
        <f>IF(A171="","",IFERROR(INDEX('Dashboard Items'!$E$2:$E$495,MATCH(A171,'Dashboard Items'!$A$2:$A$495,0)),"ID not found"))</f>
        <v/>
      </c>
      <c r="E171" s="355">
        <f>IF(D171="","",IFERROR(INDEX('Dashboard Items'!$C$2:$C$495,MATCH(D171,'Dashboard Items'!$A$2:$A$495,0)),"ID not found"))</f>
        <v/>
      </c>
      <c r="F171" s="355">
        <f>IF(D171="","",IFERROR(INDEX('Dashboard Items'!$F$2:$F$495,MATCH(D171,'Dashboard Items'!$A$2:$A$495,0)),"ID not found"))</f>
        <v/>
      </c>
    </row>
    <row r="172" ht="15" customHeight="1" s="210">
      <c r="B172" s="355">
        <f>IF(A172="","",IFERROR(INDEX('Dashboard Items'!$C$2:$C$495,MATCH(A172,'Dashboard Items'!$A$2:$A$495,0)),"ID not found"))</f>
        <v/>
      </c>
      <c r="C172" s="355">
        <f>IF(A172="","",IFERROR(INDEX('Dashboard Items'!$E$2:$E$495,MATCH(A172,'Dashboard Items'!$A$2:$A$495,0)),"ID not found"))</f>
        <v/>
      </c>
      <c r="E172" s="355">
        <f>IF(D172="","",IFERROR(INDEX('Dashboard Items'!$C$2:$C$495,MATCH(D172,'Dashboard Items'!$A$2:$A$495,0)),"ID not found"))</f>
        <v/>
      </c>
      <c r="F172" s="355">
        <f>IF(D172="","",IFERROR(INDEX('Dashboard Items'!$F$2:$F$495,MATCH(D172,'Dashboard Items'!$A$2:$A$495,0)),"ID not found"))</f>
        <v/>
      </c>
    </row>
    <row r="173" ht="15" customHeight="1" s="210">
      <c r="B173" s="355">
        <f>IF(A173="","",IFERROR(INDEX('Dashboard Items'!$C$2:$C$495,MATCH(A173,'Dashboard Items'!$A$2:$A$495,0)),"ID not found"))</f>
        <v/>
      </c>
      <c r="C173" s="355">
        <f>IF(A173="","",IFERROR(INDEX('Dashboard Items'!$E$2:$E$495,MATCH(A173,'Dashboard Items'!$A$2:$A$495,0)),"ID not found"))</f>
        <v/>
      </c>
      <c r="E173" s="355">
        <f>IF(D173="","",IFERROR(INDEX('Dashboard Items'!$C$2:$C$495,MATCH(D173,'Dashboard Items'!$A$2:$A$495,0)),"ID not found"))</f>
        <v/>
      </c>
      <c r="F173" s="355">
        <f>IF(D173="","",IFERROR(INDEX('Dashboard Items'!$F$2:$F$495,MATCH(D173,'Dashboard Items'!$A$2:$A$495,0)),"ID not found"))</f>
        <v/>
      </c>
    </row>
    <row r="174" ht="15" customHeight="1" s="210">
      <c r="B174" s="355">
        <f>IF(A174="","",IFERROR(INDEX('Dashboard Items'!$C$2:$C$495,MATCH(A174,'Dashboard Items'!$A$2:$A$495,0)),"ID not found"))</f>
        <v/>
      </c>
      <c r="C174" s="355">
        <f>IF(A174="","",IFERROR(INDEX('Dashboard Items'!$E$2:$E$495,MATCH(A174,'Dashboard Items'!$A$2:$A$495,0)),"ID not found"))</f>
        <v/>
      </c>
      <c r="E174" s="355">
        <f>IF(D174="","",IFERROR(INDEX('Dashboard Items'!$C$2:$C$495,MATCH(D174,'Dashboard Items'!$A$2:$A$495,0)),"ID not found"))</f>
        <v/>
      </c>
      <c r="F174" s="355">
        <f>IF(D174="","",IFERROR(INDEX('Dashboard Items'!$F$2:$F$495,MATCH(D174,'Dashboard Items'!$A$2:$A$495,0)),"ID not found"))</f>
        <v/>
      </c>
    </row>
    <row r="175" ht="15" customHeight="1" s="210">
      <c r="B175" s="355">
        <f>IF(A175="","",IFERROR(INDEX('Dashboard Items'!$C$2:$C$495,MATCH(A175,'Dashboard Items'!$A$2:$A$495,0)),"ID not found"))</f>
        <v/>
      </c>
      <c r="C175" s="355">
        <f>IF(A175="","",IFERROR(INDEX('Dashboard Items'!$E$2:$E$495,MATCH(A175,'Dashboard Items'!$A$2:$A$495,0)),"ID not found"))</f>
        <v/>
      </c>
      <c r="E175" s="355">
        <f>IF(D175="","",IFERROR(INDEX('Dashboard Items'!$C$2:$C$495,MATCH(D175,'Dashboard Items'!$A$2:$A$495,0)),"ID not found"))</f>
        <v/>
      </c>
      <c r="F175" s="355">
        <f>IF(D175="","",IFERROR(INDEX('Dashboard Items'!$F$2:$F$495,MATCH(D175,'Dashboard Items'!$A$2:$A$495,0)),"ID not found"))</f>
        <v/>
      </c>
    </row>
    <row r="176" ht="15" customHeight="1" s="210">
      <c r="B176" s="355">
        <f>IF(A176="","",IFERROR(INDEX('Dashboard Items'!$C$2:$C$495,MATCH(A176,'Dashboard Items'!$A$2:$A$495,0)),"ID not found"))</f>
        <v/>
      </c>
      <c r="C176" s="355">
        <f>IF(A176="","",IFERROR(INDEX('Dashboard Items'!$E$2:$E$495,MATCH(A176,'Dashboard Items'!$A$2:$A$495,0)),"ID not found"))</f>
        <v/>
      </c>
      <c r="E176" s="355">
        <f>IF(D176="","",IFERROR(INDEX('Dashboard Items'!$C$2:$C$495,MATCH(D176,'Dashboard Items'!$A$2:$A$495,0)),"ID not found"))</f>
        <v/>
      </c>
      <c r="F176" s="355">
        <f>IF(D176="","",IFERROR(INDEX('Dashboard Items'!$F$2:$F$495,MATCH(D176,'Dashboard Items'!$A$2:$A$495,0)),"ID not found"))</f>
        <v/>
      </c>
    </row>
    <row r="177" ht="15" customHeight="1" s="210">
      <c r="B177" s="355">
        <f>IF(A177="","",IFERROR(INDEX('Dashboard Items'!$C$2:$C$495,MATCH(A177,'Dashboard Items'!$A$2:$A$495,0)),"ID not found"))</f>
        <v/>
      </c>
      <c r="C177" s="355">
        <f>IF(A177="","",IFERROR(INDEX('Dashboard Items'!$E$2:$E$495,MATCH(A177,'Dashboard Items'!$A$2:$A$495,0)),"ID not found"))</f>
        <v/>
      </c>
      <c r="E177" s="355">
        <f>IF(D177="","",IFERROR(INDEX('Dashboard Items'!$C$2:$C$495,MATCH(D177,'Dashboard Items'!$A$2:$A$495,0)),"ID not found"))</f>
        <v/>
      </c>
      <c r="F177" s="355">
        <f>IF(D177="","",IFERROR(INDEX('Dashboard Items'!$F$2:$F$495,MATCH(D177,'Dashboard Items'!$A$2:$A$495,0)),"ID not found"))</f>
        <v/>
      </c>
    </row>
    <row r="178" ht="15" customHeight="1" s="210">
      <c r="B178" s="355">
        <f>IF(A178="","",IFERROR(INDEX('Dashboard Items'!$C$2:$C$495,MATCH(A178,'Dashboard Items'!$A$2:$A$495,0)),"ID not found"))</f>
        <v/>
      </c>
      <c r="C178" s="355">
        <f>IF(A178="","",IFERROR(INDEX('Dashboard Items'!$E$2:$E$495,MATCH(A178,'Dashboard Items'!$A$2:$A$495,0)),"ID not found"))</f>
        <v/>
      </c>
      <c r="E178" s="355">
        <f>IF(D178="","",IFERROR(INDEX('Dashboard Items'!$C$2:$C$495,MATCH(D178,'Dashboard Items'!$A$2:$A$495,0)),"ID not found"))</f>
        <v/>
      </c>
      <c r="F178" s="355">
        <f>IF(D178="","",IFERROR(INDEX('Dashboard Items'!$F$2:$F$495,MATCH(D178,'Dashboard Items'!$A$2:$A$495,0)),"ID not found"))</f>
        <v/>
      </c>
    </row>
    <row r="179" ht="15" customHeight="1" s="210">
      <c r="B179" s="355">
        <f>IF(A179="","",IFERROR(INDEX('Dashboard Items'!$C$2:$C$495,MATCH(A179,'Dashboard Items'!$A$2:$A$495,0)),"ID not found"))</f>
        <v/>
      </c>
      <c r="C179" s="355">
        <f>IF(A179="","",IFERROR(INDEX('Dashboard Items'!$E$2:$E$495,MATCH(A179,'Dashboard Items'!$A$2:$A$495,0)),"ID not found"))</f>
        <v/>
      </c>
      <c r="E179" s="355">
        <f>IF(D179="","",IFERROR(INDEX('Dashboard Items'!$C$2:$C$495,MATCH(D179,'Dashboard Items'!$A$2:$A$495,0)),"ID not found"))</f>
        <v/>
      </c>
      <c r="F179" s="355">
        <f>IF(D179="","",IFERROR(INDEX('Dashboard Items'!$F$2:$F$495,MATCH(D179,'Dashboard Items'!$A$2:$A$495,0)),"ID not found"))</f>
        <v/>
      </c>
    </row>
    <row r="180" ht="15" customHeight="1" s="210">
      <c r="B180" s="355">
        <f>IF(A180="","",IFERROR(INDEX('Dashboard Items'!$C$2:$C$495,MATCH(A180,'Dashboard Items'!$A$2:$A$495,0)),"ID not found"))</f>
        <v/>
      </c>
      <c r="C180" s="355">
        <f>IF(A180="","",IFERROR(INDEX('Dashboard Items'!$E$2:$E$495,MATCH(A180,'Dashboard Items'!$A$2:$A$495,0)),"ID not found"))</f>
        <v/>
      </c>
      <c r="E180" s="355">
        <f>IF(D180="","",IFERROR(INDEX('Dashboard Items'!$C$2:$C$495,MATCH(D180,'Dashboard Items'!$A$2:$A$495,0)),"ID not found"))</f>
        <v/>
      </c>
      <c r="F180" s="355">
        <f>IF(D180="","",IFERROR(INDEX('Dashboard Items'!$F$2:$F$495,MATCH(D180,'Dashboard Items'!$A$2:$A$495,0)),"ID not found"))</f>
        <v/>
      </c>
    </row>
    <row r="181" ht="15" customHeight="1" s="210">
      <c r="B181" s="355">
        <f>IF(A181="","",IFERROR(INDEX('Dashboard Items'!$C$2:$C$495,MATCH(A181,'Dashboard Items'!$A$2:$A$495,0)),"ID not found"))</f>
        <v/>
      </c>
      <c r="C181" s="355">
        <f>IF(A181="","",IFERROR(INDEX('Dashboard Items'!$E$2:$E$495,MATCH(A181,'Dashboard Items'!$A$2:$A$495,0)),"ID not found"))</f>
        <v/>
      </c>
      <c r="E181" s="355">
        <f>IF(D181="","",IFERROR(INDEX('Dashboard Items'!$C$2:$C$495,MATCH(D181,'Dashboard Items'!$A$2:$A$495,0)),"ID not found"))</f>
        <v/>
      </c>
      <c r="F181" s="355">
        <f>IF(D181="","",IFERROR(INDEX('Dashboard Items'!$F$2:$F$495,MATCH(D181,'Dashboard Items'!$A$2:$A$495,0)),"ID not found"))</f>
        <v/>
      </c>
    </row>
    <row r="182" ht="15" customHeight="1" s="210">
      <c r="B182" s="355">
        <f>IF(A182="","",IFERROR(INDEX('Dashboard Items'!$C$2:$C$495,MATCH(A182,'Dashboard Items'!$A$2:$A$495,0)),"ID not found"))</f>
        <v/>
      </c>
      <c r="C182" s="355">
        <f>IF(A182="","",IFERROR(INDEX('Dashboard Items'!$E$2:$E$495,MATCH(A182,'Dashboard Items'!$A$2:$A$495,0)),"ID not found"))</f>
        <v/>
      </c>
      <c r="E182" s="355">
        <f>IF(D182="","",IFERROR(INDEX('Dashboard Items'!$C$2:$C$495,MATCH(D182,'Dashboard Items'!$A$2:$A$495,0)),"ID not found"))</f>
        <v/>
      </c>
      <c r="F182" s="355">
        <f>IF(D182="","",IFERROR(INDEX('Dashboard Items'!$F$2:$F$495,MATCH(D182,'Dashboard Items'!$A$2:$A$495,0)),"ID not found"))</f>
        <v/>
      </c>
    </row>
    <row r="183" ht="15" customHeight="1" s="210">
      <c r="B183" s="355">
        <f>IF(A183="","",IFERROR(INDEX('Dashboard Items'!$C$2:$C$495,MATCH(A183,'Dashboard Items'!$A$2:$A$495,0)),"ID not found"))</f>
        <v/>
      </c>
      <c r="C183" s="355">
        <f>IF(A183="","",IFERROR(INDEX('Dashboard Items'!$E$2:$E$495,MATCH(A183,'Dashboard Items'!$A$2:$A$495,0)),"ID not found"))</f>
        <v/>
      </c>
      <c r="E183" s="355">
        <f>IF(D183="","",IFERROR(INDEX('Dashboard Items'!$C$2:$C$495,MATCH(D183,'Dashboard Items'!$A$2:$A$495,0)),"ID not found"))</f>
        <v/>
      </c>
      <c r="F183" s="355">
        <f>IF(D183="","",IFERROR(INDEX('Dashboard Items'!$F$2:$F$495,MATCH(D183,'Dashboard Items'!$A$2:$A$495,0)),"ID not found"))</f>
        <v/>
      </c>
    </row>
    <row r="184" ht="15" customHeight="1" s="210">
      <c r="B184" s="355">
        <f>IF(A184="","",IFERROR(INDEX('Dashboard Items'!$C$2:$C$495,MATCH(A184,'Dashboard Items'!$A$2:$A$495,0)),"ID not found"))</f>
        <v/>
      </c>
      <c r="C184" s="355">
        <f>IF(A184="","",IFERROR(INDEX('Dashboard Items'!$E$2:$E$495,MATCH(A184,'Dashboard Items'!$A$2:$A$495,0)),"ID not found"))</f>
        <v/>
      </c>
      <c r="E184" s="355">
        <f>IF(D184="","",IFERROR(INDEX('Dashboard Items'!$C$2:$C$495,MATCH(D184,'Dashboard Items'!$A$2:$A$495,0)),"ID not found"))</f>
        <v/>
      </c>
      <c r="F184" s="355">
        <f>IF(D184="","",IFERROR(INDEX('Dashboard Items'!$F$2:$F$495,MATCH(D184,'Dashboard Items'!$A$2:$A$495,0)),"ID not found"))</f>
        <v/>
      </c>
    </row>
    <row r="185" ht="15" customHeight="1" s="210">
      <c r="B185" s="355">
        <f>IF(A185="","",IFERROR(INDEX('Dashboard Items'!$C$2:$C$495,MATCH(A185,'Dashboard Items'!$A$2:$A$495,0)),"ID not found"))</f>
        <v/>
      </c>
      <c r="C185" s="355">
        <f>IF(A185="","",IFERROR(INDEX('Dashboard Items'!$E$2:$E$495,MATCH(A185,'Dashboard Items'!$A$2:$A$495,0)),"ID not found"))</f>
        <v/>
      </c>
      <c r="E185" s="355">
        <f>IF(D185="","",IFERROR(INDEX('Dashboard Items'!$C$2:$C$495,MATCH(D185,'Dashboard Items'!$A$2:$A$495,0)),"ID not found"))</f>
        <v/>
      </c>
      <c r="F185" s="355">
        <f>IF(D185="","",IFERROR(INDEX('Dashboard Items'!$F$2:$F$495,MATCH(D185,'Dashboard Items'!$A$2:$A$495,0)),"ID not found"))</f>
        <v/>
      </c>
    </row>
    <row r="186" ht="15" customHeight="1" s="210">
      <c r="B186" s="355">
        <f>IF(A186="","",IFERROR(INDEX('Dashboard Items'!$C$2:$C$495,MATCH(A186,'Dashboard Items'!$A$2:$A$495,0)),"ID not found"))</f>
        <v/>
      </c>
      <c r="C186" s="355">
        <f>IF(A186="","",IFERROR(INDEX('Dashboard Items'!$E$2:$E$495,MATCH(A186,'Dashboard Items'!$A$2:$A$495,0)),"ID not found"))</f>
        <v/>
      </c>
      <c r="E186" s="355">
        <f>IF(D186="","",IFERROR(INDEX('Dashboard Items'!$C$2:$C$495,MATCH(D186,'Dashboard Items'!$A$2:$A$495,0)),"ID not found"))</f>
        <v/>
      </c>
      <c r="F186" s="355">
        <f>IF(D186="","",IFERROR(INDEX('Dashboard Items'!$F$2:$F$495,MATCH(D186,'Dashboard Items'!$A$2:$A$495,0)),"ID not found"))</f>
        <v/>
      </c>
    </row>
    <row r="187" ht="15" customHeight="1" s="210">
      <c r="B187" s="355">
        <f>IF(A187="","",IFERROR(INDEX('Dashboard Items'!$C$2:$C$495,MATCH(A187,'Dashboard Items'!$A$2:$A$495,0)),"ID not found"))</f>
        <v/>
      </c>
      <c r="C187" s="355">
        <f>IF(A187="","",IFERROR(INDEX('Dashboard Items'!$E$2:$E$495,MATCH(A187,'Dashboard Items'!$A$2:$A$495,0)),"ID not found"))</f>
        <v/>
      </c>
      <c r="E187" s="355">
        <f>IF(D187="","",IFERROR(INDEX('Dashboard Items'!$C$2:$C$495,MATCH(D187,'Dashboard Items'!$A$2:$A$495,0)),"ID not found"))</f>
        <v/>
      </c>
      <c r="F187" s="355">
        <f>IF(D187="","",IFERROR(INDEX('Dashboard Items'!$F$2:$F$495,MATCH(D187,'Dashboard Items'!$A$2:$A$495,0)),"ID not found"))</f>
        <v/>
      </c>
    </row>
    <row r="188" ht="15" customHeight="1" s="210">
      <c r="B188" s="355">
        <f>IF(A188="","",IFERROR(INDEX('Dashboard Items'!$C$2:$C$495,MATCH(A188,'Dashboard Items'!$A$2:$A$495,0)),"ID not found"))</f>
        <v/>
      </c>
      <c r="C188" s="355">
        <f>IF(A188="","",IFERROR(INDEX('Dashboard Items'!$E$2:$E$495,MATCH(A188,'Dashboard Items'!$A$2:$A$495,0)),"ID not found"))</f>
        <v/>
      </c>
      <c r="E188" s="355">
        <f>IF(D188="","",IFERROR(INDEX('Dashboard Items'!$C$2:$C$495,MATCH(D188,'Dashboard Items'!$A$2:$A$495,0)),"ID not found"))</f>
        <v/>
      </c>
      <c r="F188" s="355">
        <f>IF(D188="","",IFERROR(INDEX('Dashboard Items'!$F$2:$F$495,MATCH(D188,'Dashboard Items'!$A$2:$A$495,0)),"ID not found"))</f>
        <v/>
      </c>
    </row>
    <row r="189" ht="15" customHeight="1" s="210">
      <c r="B189" s="355">
        <f>IF(A189="","",IFERROR(INDEX('Dashboard Items'!$C$2:$C$495,MATCH(A189,'Dashboard Items'!$A$2:$A$495,0)),"ID not found"))</f>
        <v/>
      </c>
      <c r="C189" s="355">
        <f>IF(A189="","",IFERROR(INDEX('Dashboard Items'!$E$2:$E$495,MATCH(A189,'Dashboard Items'!$A$2:$A$495,0)),"ID not found"))</f>
        <v/>
      </c>
      <c r="E189" s="355">
        <f>IF(D189="","",IFERROR(INDEX('Dashboard Items'!$C$2:$C$495,MATCH(D189,'Dashboard Items'!$A$2:$A$495,0)),"ID not found"))</f>
        <v/>
      </c>
      <c r="F189" s="355">
        <f>IF(D189="","",IFERROR(INDEX('Dashboard Items'!$F$2:$F$495,MATCH(D189,'Dashboard Items'!$A$2:$A$495,0)),"ID not found"))</f>
        <v/>
      </c>
    </row>
    <row r="190" ht="15" customHeight="1" s="210">
      <c r="B190" s="355">
        <f>IF(A190="","",IFERROR(INDEX('Dashboard Items'!$C$2:$C$495,MATCH(A190,'Dashboard Items'!$A$2:$A$495,0)),"ID not found"))</f>
        <v/>
      </c>
      <c r="C190" s="355">
        <f>IF(A190="","",IFERROR(INDEX('Dashboard Items'!$E$2:$E$495,MATCH(A190,'Dashboard Items'!$A$2:$A$495,0)),"ID not found"))</f>
        <v/>
      </c>
      <c r="E190" s="355">
        <f>IF(D190="","",IFERROR(INDEX('Dashboard Items'!$C$2:$C$495,MATCH(D190,'Dashboard Items'!$A$2:$A$495,0)),"ID not found"))</f>
        <v/>
      </c>
      <c r="F190" s="355">
        <f>IF(D190="","",IFERROR(INDEX('Dashboard Items'!$F$2:$F$495,MATCH(D190,'Dashboard Items'!$A$2:$A$495,0)),"ID not found"))</f>
        <v/>
      </c>
    </row>
    <row r="191" ht="15" customHeight="1" s="210">
      <c r="B191" s="355">
        <f>IF(A191="","",IFERROR(INDEX('Dashboard Items'!$C$2:$C$495,MATCH(A191,'Dashboard Items'!$A$2:$A$495,0)),"ID not found"))</f>
        <v/>
      </c>
      <c r="C191" s="355">
        <f>IF(A191="","",IFERROR(INDEX('Dashboard Items'!$E$2:$E$495,MATCH(A191,'Dashboard Items'!$A$2:$A$495,0)),"ID not found"))</f>
        <v/>
      </c>
      <c r="E191" s="355">
        <f>IF(D191="","",IFERROR(INDEX('Dashboard Items'!$C$2:$C$495,MATCH(D191,'Dashboard Items'!$A$2:$A$495,0)),"ID not found"))</f>
        <v/>
      </c>
      <c r="F191" s="355">
        <f>IF(D191="","",IFERROR(INDEX('Dashboard Items'!$F$2:$F$495,MATCH(D191,'Dashboard Items'!$A$2:$A$495,0)),"ID not found"))</f>
        <v/>
      </c>
    </row>
    <row r="192" ht="15" customHeight="1" s="210">
      <c r="B192" s="355">
        <f>IF(A192="","",IFERROR(INDEX('Dashboard Items'!$C$2:$C$495,MATCH(A192,'Dashboard Items'!$A$2:$A$495,0)),"ID not found"))</f>
        <v/>
      </c>
      <c r="C192" s="355">
        <f>IF(A192="","",IFERROR(INDEX('Dashboard Items'!$E$2:$E$495,MATCH(A192,'Dashboard Items'!$A$2:$A$495,0)),"ID not found"))</f>
        <v/>
      </c>
      <c r="E192" s="355">
        <f>IF(D192="","",IFERROR(INDEX('Dashboard Items'!$C$2:$C$495,MATCH(D192,'Dashboard Items'!$A$2:$A$495,0)),"ID not found"))</f>
        <v/>
      </c>
      <c r="F192" s="355">
        <f>IF(D192="","",IFERROR(INDEX('Dashboard Items'!$F$2:$F$495,MATCH(D192,'Dashboard Items'!$A$2:$A$495,0)),"ID not found"))</f>
        <v/>
      </c>
    </row>
    <row r="193" ht="15" customHeight="1" s="210">
      <c r="B193" s="355">
        <f>IF(A193="","",IFERROR(INDEX('Dashboard Items'!$C$2:$C$495,MATCH(A193,'Dashboard Items'!$A$2:$A$495,0)),"ID not found"))</f>
        <v/>
      </c>
      <c r="C193" s="355">
        <f>IF(A193="","",IFERROR(INDEX('Dashboard Items'!$E$2:$E$495,MATCH(A193,'Dashboard Items'!$A$2:$A$495,0)),"ID not found"))</f>
        <v/>
      </c>
      <c r="E193" s="355">
        <f>IF(D193="","",IFERROR(INDEX('Dashboard Items'!$C$2:$C$495,MATCH(D193,'Dashboard Items'!$A$2:$A$495,0)),"ID not found"))</f>
        <v/>
      </c>
      <c r="F193" s="355">
        <f>IF(D193="","",IFERROR(INDEX('Dashboard Items'!$F$2:$F$495,MATCH(D193,'Dashboard Items'!$A$2:$A$495,0)),"ID not found"))</f>
        <v/>
      </c>
    </row>
    <row r="194" ht="15" customHeight="1" s="210">
      <c r="B194" s="355">
        <f>IF(A194="","",IFERROR(INDEX('Dashboard Items'!$C$2:$C$495,MATCH(A194,'Dashboard Items'!$A$2:$A$495,0)),"ID not found"))</f>
        <v/>
      </c>
      <c r="C194" s="355">
        <f>IF(A194="","",IFERROR(INDEX('Dashboard Items'!$E$2:$E$495,MATCH(A194,'Dashboard Items'!$A$2:$A$495,0)),"ID not found"))</f>
        <v/>
      </c>
      <c r="E194" s="355">
        <f>IF(D194="","",IFERROR(INDEX('Dashboard Items'!$C$2:$C$495,MATCH(D194,'Dashboard Items'!$A$2:$A$495,0)),"ID not found"))</f>
        <v/>
      </c>
      <c r="F194" s="355">
        <f>IF(D194="","",IFERROR(INDEX('Dashboard Items'!$F$2:$F$495,MATCH(D194,'Dashboard Items'!$A$2:$A$495,0)),"ID not found"))</f>
        <v/>
      </c>
    </row>
    <row r="195" ht="15" customHeight="1" s="210">
      <c r="B195" s="355">
        <f>IF(A195="","",IFERROR(INDEX('Dashboard Items'!$C$2:$C$495,MATCH(A195,'Dashboard Items'!$A$2:$A$495,0)),"ID not found"))</f>
        <v/>
      </c>
      <c r="C195" s="355">
        <f>IF(A195="","",IFERROR(INDEX('Dashboard Items'!$E$2:$E$495,MATCH(A195,'Dashboard Items'!$A$2:$A$495,0)),"ID not found"))</f>
        <v/>
      </c>
      <c r="E195" s="355">
        <f>IF(D195="","",IFERROR(INDEX('Dashboard Items'!$C$2:$C$495,MATCH(D195,'Dashboard Items'!$A$2:$A$495,0)),"ID not found"))</f>
        <v/>
      </c>
      <c r="F195" s="355">
        <f>IF(D195="","",IFERROR(INDEX('Dashboard Items'!$F$2:$F$495,MATCH(D195,'Dashboard Items'!$A$2:$A$495,0)),"ID not found"))</f>
        <v/>
      </c>
    </row>
    <row r="196" ht="15" customHeight="1" s="210">
      <c r="B196" s="355">
        <f>IF(A196="","",IFERROR(INDEX('Dashboard Items'!$C$2:$C$495,MATCH(A196,'Dashboard Items'!$A$2:$A$495,0)),"ID not found"))</f>
        <v/>
      </c>
      <c r="C196" s="355">
        <f>IF(A196="","",IFERROR(INDEX('Dashboard Items'!$E$2:$E$495,MATCH(A196,'Dashboard Items'!$A$2:$A$495,0)),"ID not found"))</f>
        <v/>
      </c>
      <c r="E196" s="355">
        <f>IF(D196="","",IFERROR(INDEX('Dashboard Items'!$C$2:$C$495,MATCH(D196,'Dashboard Items'!$A$2:$A$495,0)),"ID not found"))</f>
        <v/>
      </c>
      <c r="F196" s="355">
        <f>IF(D196="","",IFERROR(INDEX('Dashboard Items'!$F$2:$F$495,MATCH(D196,'Dashboard Items'!$A$2:$A$495,0)),"ID not found"))</f>
        <v/>
      </c>
    </row>
    <row r="197" ht="15" customHeight="1" s="210">
      <c r="B197" s="355">
        <f>IF(A197="","",IFERROR(INDEX('Dashboard Items'!$C$2:$C$495,MATCH(A197,'Dashboard Items'!$A$2:$A$495,0)),"ID not found"))</f>
        <v/>
      </c>
      <c r="C197" s="355">
        <f>IF(A197="","",IFERROR(INDEX('Dashboard Items'!$E$2:$E$495,MATCH(A197,'Dashboard Items'!$A$2:$A$495,0)),"ID not found"))</f>
        <v/>
      </c>
      <c r="E197" s="355">
        <f>IF(D197="","",IFERROR(INDEX('Dashboard Items'!$C$2:$C$495,MATCH(D197,'Dashboard Items'!$A$2:$A$495,0)),"ID not found"))</f>
        <v/>
      </c>
      <c r="F197" s="355">
        <f>IF(D197="","",IFERROR(INDEX('Dashboard Items'!$F$2:$F$495,MATCH(D197,'Dashboard Items'!$A$2:$A$495,0)),"ID not found"))</f>
        <v/>
      </c>
    </row>
    <row r="198" ht="15" customHeight="1" s="210">
      <c r="B198" s="355">
        <f>IF(A198="","",IFERROR(INDEX('Dashboard Items'!$C$2:$C$495,MATCH(A198,'Dashboard Items'!$A$2:$A$495,0)),"ID not found"))</f>
        <v/>
      </c>
      <c r="C198" s="355">
        <f>IF(A198="","",IFERROR(INDEX('Dashboard Items'!$E$2:$E$495,MATCH(A198,'Dashboard Items'!$A$2:$A$495,0)),"ID not found"))</f>
        <v/>
      </c>
      <c r="E198" s="355">
        <f>IF(D198="","",IFERROR(INDEX('Dashboard Items'!$C$2:$C$495,MATCH(D198,'Dashboard Items'!$A$2:$A$495,0)),"ID not found"))</f>
        <v/>
      </c>
      <c r="F198" s="355">
        <f>IF(D198="","",IFERROR(INDEX('Dashboard Items'!$F$2:$F$495,MATCH(D198,'Dashboard Items'!$A$2:$A$495,0)),"ID not found"))</f>
        <v/>
      </c>
    </row>
    <row r="199" ht="15" customHeight="1" s="210">
      <c r="B199" s="355">
        <f>IF(A199="","",IFERROR(INDEX('Dashboard Items'!$C$2:$C$495,MATCH(A199,'Dashboard Items'!$A$2:$A$495,0)),"ID not found"))</f>
        <v/>
      </c>
      <c r="C199" s="355">
        <f>IF(A199="","",IFERROR(INDEX('Dashboard Items'!$E$2:$E$495,MATCH(A199,'Dashboard Items'!$A$2:$A$495,0)),"ID not found"))</f>
        <v/>
      </c>
      <c r="E199" s="355">
        <f>IF(D199="","",IFERROR(INDEX('Dashboard Items'!$C$2:$C$495,MATCH(D199,'Dashboard Items'!$A$2:$A$495,0)),"ID not found"))</f>
        <v/>
      </c>
      <c r="F199" s="355">
        <f>IF(D199="","",IFERROR(INDEX('Dashboard Items'!$F$2:$F$495,MATCH(D199,'Dashboard Items'!$A$2:$A$495,0)),"ID not found"))</f>
        <v/>
      </c>
    </row>
    <row r="200" ht="15" customHeight="1" s="210">
      <c r="B200" s="355">
        <f>IF(A200="","",IFERROR(INDEX('Dashboard Items'!$C$2:$C$495,MATCH(A200,'Dashboard Items'!$A$2:$A$495,0)),"ID not found"))</f>
        <v/>
      </c>
      <c r="C200" s="355">
        <f>IF(A200="","",IFERROR(INDEX('Dashboard Items'!$E$2:$E$495,MATCH(A200,'Dashboard Items'!$A$2:$A$495,0)),"ID not found"))</f>
        <v/>
      </c>
      <c r="E200" s="355">
        <f>IF(D200="","",IFERROR(INDEX('Dashboard Items'!$C$2:$C$495,MATCH(D200,'Dashboard Items'!$A$2:$A$495,0)),"ID not found"))</f>
        <v/>
      </c>
      <c r="F200" s="355">
        <f>IF(D200="","",IFERROR(INDEX('Dashboard Items'!$F$2:$F$495,MATCH(D200,'Dashboard Items'!$A$2:$A$495,0)),"ID not found"))</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2026-10-02T22:23:19Z</dcterms:created>
  <dcterms:modified xmlns:dcterms="http://purl.org/dc/terms/" xmlns:xsi="http://www.w3.org/2001/XMLSchema-instance" xsi:type="dcterms:W3CDTF">2026-10-28T02:55:36Z</dcterms:modified>
  <cp:lastModifiedBy>Lord, Mary Cathryn</cp:lastModifiedBy>
  <cp:revision>0</cp:revision>
</cp:coreProperties>
</file>